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13_ncr:1_{F3655EFE-203A-4BBA-B81A-B939B359D94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SSUMPTION" sheetId="15" r:id="rId1"/>
    <sheet name="Raw Data" sheetId="1" r:id="rId2"/>
    <sheet name="MIS SUMMARY" sheetId="8" r:id="rId3"/>
    <sheet name="BUDGETING" sheetId="10" r:id="rId4"/>
    <sheet name="FORECASTING" sheetId="13" r:id="rId5"/>
    <sheet name="PIVOT TABLE" sheetId="14" r:id="rId6"/>
  </sheets>
  <definedNames>
    <definedName name="_xlcn.WorksheetConnection_MIS_Report_Final.xlsxTable2" hidden="1">Table2[]</definedName>
  </definedNames>
  <calcPr calcId="191029"/>
  <pivotCaches>
    <pivotCache cacheId="0" r:id="rId7"/>
    <pivotCache cacheId="1" r:id="rId8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MIS_Report_Final.xlsx!Table2"/>
        </x15:modelTables>
        <x15:extLst>
          <ext xmlns:x16="http://schemas.microsoft.com/office/spreadsheetml/2014/11/main" uri="{9835A34E-60A6-4A7C-AAB8-D5F71C897F49}">
            <x16:modelTimeGroupings>
              <x16:modelTimeGrouping tableName="Table2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3" l="1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" i="13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I332" i="1" l="1"/>
  <c r="I166" i="1"/>
  <c r="I149" i="1"/>
  <c r="I53" i="1"/>
  <c r="I104" i="1"/>
  <c r="I210" i="1"/>
  <c r="I158" i="1"/>
  <c r="I361" i="1"/>
  <c r="I341" i="1"/>
  <c r="I194" i="1"/>
  <c r="I365" i="1"/>
  <c r="I153" i="1"/>
  <c r="I24" i="1"/>
  <c r="I82" i="1"/>
  <c r="I86" i="1"/>
  <c r="I16" i="1"/>
  <c r="I98" i="1"/>
  <c r="I356" i="1"/>
  <c r="I255" i="1"/>
  <c r="I21" i="1"/>
  <c r="I95" i="1"/>
  <c r="I41" i="1"/>
  <c r="I308" i="1"/>
  <c r="I143" i="1"/>
  <c r="I306" i="1"/>
  <c r="I211" i="1"/>
  <c r="I11" i="1"/>
  <c r="I18" i="1"/>
  <c r="I290" i="1"/>
  <c r="I331" i="1"/>
  <c r="I351" i="1"/>
  <c r="I122" i="1"/>
  <c r="I217" i="1"/>
  <c r="I6" i="1"/>
  <c r="I109" i="1"/>
  <c r="I267" i="1"/>
  <c r="I244" i="1"/>
  <c r="I366" i="1"/>
  <c r="I319" i="1"/>
  <c r="I202" i="1"/>
  <c r="I32" i="1"/>
  <c r="I36" i="1"/>
  <c r="I62" i="1"/>
  <c r="I102" i="1"/>
  <c r="I126" i="1"/>
  <c r="I178" i="1"/>
  <c r="I151" i="1"/>
  <c r="I74" i="1"/>
  <c r="I299" i="1"/>
  <c r="I56" i="1"/>
  <c r="I347" i="1"/>
  <c r="I137" i="1"/>
  <c r="I165" i="1"/>
  <c r="I103" i="1"/>
  <c r="I272" i="1"/>
  <c r="I26" i="1"/>
  <c r="I10" i="1"/>
  <c r="I140" i="1"/>
  <c r="I208" i="1"/>
  <c r="I9" i="1"/>
  <c r="I40" i="1"/>
  <c r="I107" i="1"/>
  <c r="I340" i="1"/>
  <c r="I333" i="1"/>
  <c r="I305" i="1"/>
  <c r="I327" i="1"/>
  <c r="I28" i="1"/>
  <c r="I159" i="1"/>
  <c r="I250" i="1"/>
  <c r="I227" i="1"/>
  <c r="I47" i="1"/>
  <c r="I342" i="1"/>
  <c r="I66" i="1"/>
  <c r="I17" i="1"/>
  <c r="I291" i="1"/>
  <c r="I311" i="1"/>
  <c r="I134" i="1"/>
  <c r="I213" i="1"/>
  <c r="I302" i="1"/>
  <c r="I292" i="1"/>
  <c r="I207" i="1"/>
  <c r="I35" i="1"/>
  <c r="I262" i="1"/>
  <c r="I307" i="1"/>
  <c r="I236" i="1"/>
  <c r="I303" i="1"/>
  <c r="I96" i="1"/>
  <c r="I45" i="1"/>
  <c r="I156" i="1"/>
  <c r="I92" i="1"/>
  <c r="I190" i="1"/>
  <c r="I329" i="1"/>
  <c r="I205" i="1"/>
  <c r="I304" i="1"/>
  <c r="I148" i="1"/>
  <c r="I101" i="1"/>
  <c r="I265" i="1"/>
  <c r="I242" i="1"/>
  <c r="I330" i="1"/>
  <c r="I310" i="1"/>
  <c r="I188" i="1"/>
  <c r="I359" i="1"/>
  <c r="I200" i="1"/>
  <c r="I322" i="1"/>
  <c r="I198" i="1"/>
  <c r="I69" i="1"/>
  <c r="I300" i="1"/>
  <c r="I63" i="1"/>
  <c r="I67" i="1"/>
  <c r="I75" i="1"/>
  <c r="I186" i="1"/>
  <c r="I214" i="1"/>
  <c r="I309" i="1"/>
  <c r="I334" i="1"/>
  <c r="I246" i="1"/>
  <c r="I81" i="1"/>
  <c r="I221" i="1"/>
  <c r="I232" i="1"/>
  <c r="I223" i="1"/>
  <c r="I324" i="1"/>
  <c r="I337" i="1"/>
  <c r="I13" i="1"/>
  <c r="I55" i="1"/>
  <c r="I172" i="1"/>
  <c r="I76" i="1"/>
  <c r="I170" i="1"/>
  <c r="I54" i="1"/>
  <c r="I362" i="1"/>
  <c r="I192" i="1"/>
  <c r="I80" i="1"/>
  <c r="I117" i="1"/>
  <c r="I258" i="1"/>
  <c r="I72" i="1"/>
  <c r="I199" i="1"/>
  <c r="I87" i="1"/>
  <c r="I317" i="1"/>
  <c r="I136" i="1"/>
  <c r="I85" i="1"/>
  <c r="I150" i="1"/>
  <c r="I125" i="1"/>
  <c r="I283" i="1"/>
  <c r="I106" i="1"/>
  <c r="I353" i="1"/>
  <c r="I43" i="1"/>
  <c r="I118" i="1"/>
  <c r="I215" i="1"/>
  <c r="I195" i="1"/>
  <c r="I367" i="1"/>
  <c r="I212" i="1"/>
  <c r="I185" i="1"/>
  <c r="I160" i="1"/>
  <c r="I273" i="1"/>
  <c r="I226" i="1"/>
  <c r="I220" i="1"/>
  <c r="I360" i="1"/>
  <c r="I293" i="1"/>
  <c r="I138" i="1"/>
  <c r="I196" i="1"/>
  <c r="I119" i="1"/>
  <c r="I90" i="1"/>
  <c r="I179" i="1"/>
  <c r="I247" i="1"/>
  <c r="I326" i="1"/>
  <c r="I338" i="1"/>
  <c r="I145" i="1"/>
  <c r="I14" i="1"/>
  <c r="I249" i="1"/>
  <c r="I269" i="1"/>
  <c r="I121" i="1"/>
  <c r="I301" i="1"/>
  <c r="I94" i="1"/>
  <c r="I345" i="1"/>
  <c r="I268" i="1"/>
  <c r="I261" i="1"/>
  <c r="I77" i="1"/>
  <c r="I259" i="1"/>
  <c r="I46" i="1"/>
  <c r="I171" i="1"/>
  <c r="I252" i="1"/>
  <c r="I240" i="1"/>
  <c r="I42" i="1"/>
  <c r="I363" i="1"/>
  <c r="I182" i="1"/>
  <c r="I222" i="1"/>
  <c r="I287" i="1"/>
  <c r="I328" i="1"/>
  <c r="I316" i="1"/>
  <c r="I183" i="1"/>
  <c r="I357" i="1"/>
  <c r="I115" i="1"/>
  <c r="I99" i="1"/>
  <c r="I139" i="1"/>
  <c r="I60" i="1"/>
  <c r="I245" i="1"/>
  <c r="I280" i="1"/>
  <c r="I257" i="1"/>
  <c r="I233" i="1"/>
  <c r="I336" i="1"/>
  <c r="I31" i="1"/>
  <c r="I296" i="1"/>
  <c r="I173" i="1"/>
  <c r="I146" i="1"/>
  <c r="I243" i="1"/>
  <c r="I110" i="1"/>
  <c r="I231" i="1"/>
  <c r="I15" i="1"/>
  <c r="I216" i="1"/>
  <c r="I218" i="1"/>
  <c r="I78" i="1"/>
  <c r="I225" i="1"/>
  <c r="I234" i="1"/>
  <c r="I127" i="1"/>
  <c r="I105" i="1"/>
  <c r="I68" i="1"/>
  <c r="I147" i="1"/>
  <c r="I295" i="1"/>
  <c r="I204" i="1"/>
  <c r="I235" i="1"/>
  <c r="I352" i="1"/>
  <c r="I33" i="1"/>
  <c r="I281" i="1"/>
  <c r="I325" i="1"/>
  <c r="I321" i="1"/>
  <c r="I49" i="1"/>
  <c r="I50" i="1"/>
  <c r="I111" i="1"/>
  <c r="I323" i="1"/>
  <c r="I164" i="1"/>
  <c r="I335" i="1"/>
  <c r="I289" i="1"/>
  <c r="I152" i="1"/>
  <c r="I358" i="1"/>
  <c r="I44" i="1"/>
  <c r="I141" i="1"/>
  <c r="I229" i="1"/>
  <c r="I59" i="1"/>
  <c r="I191" i="1"/>
  <c r="I276" i="1"/>
  <c r="I343" i="1"/>
  <c r="I133" i="1"/>
  <c r="I275" i="1"/>
  <c r="I4" i="1"/>
  <c r="I193" i="1"/>
  <c r="I298" i="1"/>
  <c r="I263" i="1"/>
  <c r="I135" i="1"/>
  <c r="I142" i="1"/>
  <c r="I83" i="1"/>
  <c r="I113" i="1"/>
  <c r="I61" i="1"/>
  <c r="I168" i="1"/>
  <c r="I157" i="1"/>
  <c r="I114" i="1"/>
  <c r="I230" i="1"/>
  <c r="I144" i="1"/>
  <c r="I184" i="1"/>
  <c r="I187" i="1"/>
  <c r="I271" i="1"/>
  <c r="I348" i="1"/>
  <c r="I120" i="1"/>
  <c r="I248" i="1"/>
  <c r="I124" i="1"/>
  <c r="I254" i="1"/>
  <c r="I22" i="1"/>
  <c r="I354" i="1"/>
  <c r="I189" i="1"/>
  <c r="I155" i="1"/>
  <c r="I167" i="1"/>
  <c r="I39" i="1"/>
  <c r="I73" i="1"/>
  <c r="I364" i="1"/>
  <c r="I176" i="1"/>
  <c r="I266" i="1"/>
  <c r="I37" i="1"/>
  <c r="I108" i="1"/>
  <c r="I209" i="1"/>
  <c r="I318" i="1"/>
  <c r="I350" i="1"/>
  <c r="I12" i="1"/>
  <c r="I64" i="1"/>
  <c r="I70" i="1"/>
  <c r="I131" i="1"/>
  <c r="I58" i="1"/>
  <c r="I154" i="1"/>
  <c r="I51" i="1"/>
  <c r="I228" i="1"/>
  <c r="I297" i="1"/>
  <c r="I91" i="1"/>
  <c r="I239" i="1"/>
  <c r="I294" i="1"/>
  <c r="I100" i="1"/>
  <c r="I355" i="1"/>
  <c r="I344" i="1"/>
  <c r="I282" i="1"/>
  <c r="I112" i="1"/>
  <c r="I123" i="1"/>
  <c r="I132" i="1"/>
  <c r="I180" i="1"/>
  <c r="I175" i="1"/>
  <c r="I19" i="1"/>
  <c r="I29" i="1"/>
  <c r="I23" i="1"/>
  <c r="I7" i="1"/>
  <c r="I116" i="1"/>
  <c r="I238" i="1"/>
  <c r="I5" i="1"/>
  <c r="I286" i="1"/>
  <c r="I89" i="1"/>
  <c r="I260" i="1"/>
  <c r="I312" i="1"/>
  <c r="I237" i="1"/>
  <c r="I320" i="1"/>
  <c r="I224" i="1"/>
  <c r="I97" i="1"/>
  <c r="I128" i="1"/>
  <c r="I197" i="1"/>
  <c r="I349" i="1"/>
  <c r="I274" i="1"/>
  <c r="I339" i="1"/>
  <c r="I8" i="1"/>
  <c r="I52" i="1"/>
  <c r="I20" i="1"/>
  <c r="I278" i="1"/>
  <c r="I169" i="1"/>
  <c r="I71" i="1"/>
  <c r="I25" i="1"/>
  <c r="I251" i="1"/>
  <c r="I219" i="1"/>
  <c r="I277" i="1"/>
  <c r="I38" i="1"/>
  <c r="I79" i="1"/>
  <c r="I27" i="1"/>
  <c r="I174" i="1"/>
  <c r="I161" i="1"/>
  <c r="I163" i="1"/>
  <c r="I264" i="1"/>
  <c r="I84" i="1"/>
  <c r="I93" i="1"/>
  <c r="I65" i="1"/>
  <c r="I88" i="1"/>
  <c r="I315" i="1"/>
  <c r="I48" i="1"/>
  <c r="I253" i="1"/>
  <c r="I314" i="1"/>
  <c r="I129" i="1"/>
  <c r="I177" i="1"/>
  <c r="I288" i="1"/>
  <c r="I203" i="1"/>
  <c r="I270" i="1"/>
  <c r="I241" i="1"/>
  <c r="I130" i="1"/>
  <c r="I346" i="1"/>
  <c r="I57" i="1"/>
  <c r="I162" i="1"/>
  <c r="I206" i="1"/>
  <c r="I201" i="1"/>
  <c r="I279" i="1"/>
  <c r="I34" i="1"/>
  <c r="I285" i="1"/>
  <c r="I313" i="1"/>
  <c r="I284" i="1"/>
  <c r="I30" i="1"/>
  <c r="I256" i="1"/>
  <c r="I181" i="1"/>
  <c r="F332" i="1"/>
  <c r="F166" i="1"/>
  <c r="F149" i="1"/>
  <c r="F53" i="1"/>
  <c r="F104" i="1"/>
  <c r="F210" i="1"/>
  <c r="F158" i="1"/>
  <c r="F361" i="1"/>
  <c r="F341" i="1"/>
  <c r="F194" i="1"/>
  <c r="F365" i="1"/>
  <c r="F153" i="1"/>
  <c r="F24" i="1"/>
  <c r="F82" i="1"/>
  <c r="F86" i="1"/>
  <c r="F16" i="1"/>
  <c r="F98" i="1"/>
  <c r="F356" i="1"/>
  <c r="F255" i="1"/>
  <c r="F21" i="1"/>
  <c r="F95" i="1"/>
  <c r="F41" i="1"/>
  <c r="F308" i="1"/>
  <c r="F143" i="1"/>
  <c r="F306" i="1"/>
  <c r="F211" i="1"/>
  <c r="F11" i="1"/>
  <c r="F18" i="1"/>
  <c r="F290" i="1"/>
  <c r="F331" i="1"/>
  <c r="F351" i="1"/>
  <c r="F122" i="1"/>
  <c r="F217" i="1"/>
  <c r="F6" i="1"/>
  <c r="F109" i="1"/>
  <c r="F267" i="1"/>
  <c r="F244" i="1"/>
  <c r="F366" i="1"/>
  <c r="F319" i="1"/>
  <c r="F202" i="1"/>
  <c r="F32" i="1"/>
  <c r="F36" i="1"/>
  <c r="F62" i="1"/>
  <c r="F102" i="1"/>
  <c r="F126" i="1"/>
  <c r="F178" i="1"/>
  <c r="F151" i="1"/>
  <c r="F74" i="1"/>
  <c r="F299" i="1"/>
  <c r="F56" i="1"/>
  <c r="F347" i="1"/>
  <c r="F137" i="1"/>
  <c r="F165" i="1"/>
  <c r="F103" i="1"/>
  <c r="F272" i="1"/>
  <c r="F26" i="1"/>
  <c r="F10" i="1"/>
  <c r="F140" i="1"/>
  <c r="F208" i="1"/>
  <c r="F9" i="1"/>
  <c r="F40" i="1"/>
  <c r="F107" i="1"/>
  <c r="F340" i="1"/>
  <c r="F333" i="1"/>
  <c r="F305" i="1"/>
  <c r="F327" i="1"/>
  <c r="F28" i="1"/>
  <c r="F159" i="1"/>
  <c r="F250" i="1"/>
  <c r="F227" i="1"/>
  <c r="F47" i="1"/>
  <c r="F342" i="1"/>
  <c r="F66" i="1"/>
  <c r="F17" i="1"/>
  <c r="F291" i="1"/>
  <c r="F311" i="1"/>
  <c r="F134" i="1"/>
  <c r="F213" i="1"/>
  <c r="F302" i="1"/>
  <c r="F292" i="1"/>
  <c r="F207" i="1"/>
  <c r="F35" i="1"/>
  <c r="F262" i="1"/>
  <c r="F307" i="1"/>
  <c r="F236" i="1"/>
  <c r="F303" i="1"/>
  <c r="F96" i="1"/>
  <c r="F45" i="1"/>
  <c r="F156" i="1"/>
  <c r="F92" i="1"/>
  <c r="F190" i="1"/>
  <c r="F329" i="1"/>
  <c r="F205" i="1"/>
  <c r="F304" i="1"/>
  <c r="F148" i="1"/>
  <c r="F101" i="1"/>
  <c r="F265" i="1"/>
  <c r="F242" i="1"/>
  <c r="F330" i="1"/>
  <c r="F310" i="1"/>
  <c r="F188" i="1"/>
  <c r="F359" i="1"/>
  <c r="F200" i="1"/>
  <c r="F322" i="1"/>
  <c r="F198" i="1"/>
  <c r="F69" i="1"/>
  <c r="F300" i="1"/>
  <c r="F63" i="1"/>
  <c r="F67" i="1"/>
  <c r="F75" i="1"/>
  <c r="F186" i="1"/>
  <c r="F214" i="1"/>
  <c r="F309" i="1"/>
  <c r="F334" i="1"/>
  <c r="F246" i="1"/>
  <c r="F81" i="1"/>
  <c r="F221" i="1"/>
  <c r="F232" i="1"/>
  <c r="F223" i="1"/>
  <c r="F324" i="1"/>
  <c r="F337" i="1"/>
  <c r="F13" i="1"/>
  <c r="F55" i="1"/>
  <c r="F172" i="1"/>
  <c r="F76" i="1"/>
  <c r="F170" i="1"/>
  <c r="F54" i="1"/>
  <c r="F362" i="1"/>
  <c r="F192" i="1"/>
  <c r="F80" i="1"/>
  <c r="F117" i="1"/>
  <c r="F258" i="1"/>
  <c r="F72" i="1"/>
  <c r="F199" i="1"/>
  <c r="F87" i="1"/>
  <c r="F317" i="1"/>
  <c r="F136" i="1"/>
  <c r="F85" i="1"/>
  <c r="F150" i="1"/>
  <c r="F125" i="1"/>
  <c r="F283" i="1"/>
  <c r="F106" i="1"/>
  <c r="F353" i="1"/>
  <c r="F43" i="1"/>
  <c r="F118" i="1"/>
  <c r="F215" i="1"/>
  <c r="F195" i="1"/>
  <c r="F367" i="1"/>
  <c r="F212" i="1"/>
  <c r="F185" i="1"/>
  <c r="F160" i="1"/>
  <c r="F273" i="1"/>
  <c r="F226" i="1"/>
  <c r="F220" i="1"/>
  <c r="F360" i="1"/>
  <c r="F293" i="1"/>
  <c r="F138" i="1"/>
  <c r="F196" i="1"/>
  <c r="F119" i="1"/>
  <c r="F90" i="1"/>
  <c r="F179" i="1"/>
  <c r="F247" i="1"/>
  <c r="F326" i="1"/>
  <c r="F338" i="1"/>
  <c r="F145" i="1"/>
  <c r="F14" i="1"/>
  <c r="F249" i="1"/>
  <c r="F269" i="1"/>
  <c r="F121" i="1"/>
  <c r="F301" i="1"/>
  <c r="F94" i="1"/>
  <c r="F345" i="1"/>
  <c r="F268" i="1"/>
  <c r="F261" i="1"/>
  <c r="F77" i="1"/>
  <c r="F259" i="1"/>
  <c r="F46" i="1"/>
  <c r="F171" i="1"/>
  <c r="F252" i="1"/>
  <c r="F240" i="1"/>
  <c r="F42" i="1"/>
  <c r="F363" i="1"/>
  <c r="F182" i="1"/>
  <c r="F222" i="1"/>
  <c r="F287" i="1"/>
  <c r="F328" i="1"/>
  <c r="F316" i="1"/>
  <c r="F183" i="1"/>
  <c r="F357" i="1"/>
  <c r="F115" i="1"/>
  <c r="F99" i="1"/>
  <c r="F139" i="1"/>
  <c r="F60" i="1"/>
  <c r="F245" i="1"/>
  <c r="F280" i="1"/>
  <c r="F257" i="1"/>
  <c r="F233" i="1"/>
  <c r="F336" i="1"/>
  <c r="F31" i="1"/>
  <c r="F296" i="1"/>
  <c r="F173" i="1"/>
  <c r="F146" i="1"/>
  <c r="F243" i="1"/>
  <c r="F110" i="1"/>
  <c r="F231" i="1"/>
  <c r="F15" i="1"/>
  <c r="F216" i="1"/>
  <c r="F218" i="1"/>
  <c r="F78" i="1"/>
  <c r="F225" i="1"/>
  <c r="F234" i="1"/>
  <c r="F127" i="1"/>
  <c r="F105" i="1"/>
  <c r="F68" i="1"/>
  <c r="F147" i="1"/>
  <c r="F295" i="1"/>
  <c r="F204" i="1"/>
  <c r="F235" i="1"/>
  <c r="F352" i="1"/>
  <c r="F33" i="1"/>
  <c r="F281" i="1"/>
  <c r="F325" i="1"/>
  <c r="F321" i="1"/>
  <c r="F49" i="1"/>
  <c r="F50" i="1"/>
  <c r="F111" i="1"/>
  <c r="F323" i="1"/>
  <c r="F164" i="1"/>
  <c r="F335" i="1"/>
  <c r="F289" i="1"/>
  <c r="F152" i="1"/>
  <c r="F358" i="1"/>
  <c r="F44" i="1"/>
  <c r="F141" i="1"/>
  <c r="F229" i="1"/>
  <c r="F59" i="1"/>
  <c r="F191" i="1"/>
  <c r="F276" i="1"/>
  <c r="F343" i="1"/>
  <c r="F133" i="1"/>
  <c r="F275" i="1"/>
  <c r="F4" i="1"/>
  <c r="F193" i="1"/>
  <c r="F298" i="1"/>
  <c r="F263" i="1"/>
  <c r="F135" i="1"/>
  <c r="F142" i="1"/>
  <c r="F83" i="1"/>
  <c r="F113" i="1"/>
  <c r="F61" i="1"/>
  <c r="F168" i="1"/>
  <c r="F157" i="1"/>
  <c r="F114" i="1"/>
  <c r="F230" i="1"/>
  <c r="F144" i="1"/>
  <c r="F184" i="1"/>
  <c r="F187" i="1"/>
  <c r="F271" i="1"/>
  <c r="F348" i="1"/>
  <c r="F120" i="1"/>
  <c r="F248" i="1"/>
  <c r="F124" i="1"/>
  <c r="F254" i="1"/>
  <c r="F22" i="1"/>
  <c r="F354" i="1"/>
  <c r="F189" i="1"/>
  <c r="F155" i="1"/>
  <c r="F167" i="1"/>
  <c r="F39" i="1"/>
  <c r="F73" i="1"/>
  <c r="F364" i="1"/>
  <c r="F176" i="1"/>
  <c r="F266" i="1"/>
  <c r="F37" i="1"/>
  <c r="F108" i="1"/>
  <c r="F209" i="1"/>
  <c r="F318" i="1"/>
  <c r="F350" i="1"/>
  <c r="F12" i="1"/>
  <c r="F64" i="1"/>
  <c r="F70" i="1"/>
  <c r="F131" i="1"/>
  <c r="F58" i="1"/>
  <c r="F154" i="1"/>
  <c r="F51" i="1"/>
  <c r="F228" i="1"/>
  <c r="F297" i="1"/>
  <c r="F91" i="1"/>
  <c r="F239" i="1"/>
  <c r="F294" i="1"/>
  <c r="F100" i="1"/>
  <c r="F355" i="1"/>
  <c r="F344" i="1"/>
  <c r="F282" i="1"/>
  <c r="F112" i="1"/>
  <c r="F123" i="1"/>
  <c r="F132" i="1"/>
  <c r="F180" i="1"/>
  <c r="F175" i="1"/>
  <c r="F19" i="1"/>
  <c r="F29" i="1"/>
  <c r="F23" i="1"/>
  <c r="F7" i="1"/>
  <c r="F116" i="1"/>
  <c r="F238" i="1"/>
  <c r="F5" i="1"/>
  <c r="F286" i="1"/>
  <c r="F89" i="1"/>
  <c r="F260" i="1"/>
  <c r="F312" i="1"/>
  <c r="F237" i="1"/>
  <c r="F320" i="1"/>
  <c r="F224" i="1"/>
  <c r="F97" i="1"/>
  <c r="F128" i="1"/>
  <c r="F197" i="1"/>
  <c r="F349" i="1"/>
  <c r="F274" i="1"/>
  <c r="F339" i="1"/>
  <c r="F8" i="1"/>
  <c r="F52" i="1"/>
  <c r="F20" i="1"/>
  <c r="F278" i="1"/>
  <c r="F169" i="1"/>
  <c r="F71" i="1"/>
  <c r="F25" i="1"/>
  <c r="F251" i="1"/>
  <c r="F219" i="1"/>
  <c r="F277" i="1"/>
  <c r="F38" i="1"/>
  <c r="F79" i="1"/>
  <c r="F27" i="1"/>
  <c r="F174" i="1"/>
  <c r="F161" i="1"/>
  <c r="F163" i="1"/>
  <c r="F264" i="1"/>
  <c r="F84" i="1"/>
  <c r="F93" i="1"/>
  <c r="F65" i="1"/>
  <c r="F88" i="1"/>
  <c r="F315" i="1"/>
  <c r="F48" i="1"/>
  <c r="F253" i="1"/>
  <c r="F314" i="1"/>
  <c r="F129" i="1"/>
  <c r="F177" i="1"/>
  <c r="F288" i="1"/>
  <c r="F203" i="1"/>
  <c r="F270" i="1"/>
  <c r="F241" i="1"/>
  <c r="F130" i="1"/>
  <c r="F346" i="1"/>
  <c r="F57" i="1"/>
  <c r="F162" i="1"/>
  <c r="F206" i="1"/>
  <c r="F201" i="1"/>
  <c r="F279" i="1"/>
  <c r="F34" i="1"/>
  <c r="F285" i="1"/>
  <c r="F313" i="1"/>
  <c r="F284" i="1"/>
  <c r="F30" i="1"/>
  <c r="F256" i="1"/>
  <c r="F181" i="1"/>
  <c r="E332" i="1"/>
  <c r="E166" i="1"/>
  <c r="E149" i="1"/>
  <c r="E53" i="1"/>
  <c r="E104" i="1"/>
  <c r="E210" i="1"/>
  <c r="E158" i="1"/>
  <c r="E361" i="1"/>
  <c r="E341" i="1"/>
  <c r="E194" i="1"/>
  <c r="E365" i="1"/>
  <c r="E153" i="1"/>
  <c r="E24" i="1"/>
  <c r="E82" i="1"/>
  <c r="E86" i="1"/>
  <c r="E16" i="1"/>
  <c r="E98" i="1"/>
  <c r="E356" i="1"/>
  <c r="E255" i="1"/>
  <c r="E21" i="1"/>
  <c r="E95" i="1"/>
  <c r="E41" i="1"/>
  <c r="E308" i="1"/>
  <c r="E143" i="1"/>
  <c r="E306" i="1"/>
  <c r="E211" i="1"/>
  <c r="E11" i="1"/>
  <c r="E18" i="1"/>
  <c r="E290" i="1"/>
  <c r="E331" i="1"/>
  <c r="E351" i="1"/>
  <c r="E122" i="1"/>
  <c r="E217" i="1"/>
  <c r="E6" i="1"/>
  <c r="E109" i="1"/>
  <c r="E267" i="1"/>
  <c r="E244" i="1"/>
  <c r="E366" i="1"/>
  <c r="E319" i="1"/>
  <c r="E202" i="1"/>
  <c r="E32" i="1"/>
  <c r="E36" i="1"/>
  <c r="E62" i="1"/>
  <c r="E102" i="1"/>
  <c r="E126" i="1"/>
  <c r="E178" i="1"/>
  <c r="E151" i="1"/>
  <c r="E74" i="1"/>
  <c r="E299" i="1"/>
  <c r="E56" i="1"/>
  <c r="E347" i="1"/>
  <c r="E137" i="1"/>
  <c r="E165" i="1"/>
  <c r="E103" i="1"/>
  <c r="E272" i="1"/>
  <c r="E26" i="1"/>
  <c r="E10" i="1"/>
  <c r="E140" i="1"/>
  <c r="E208" i="1"/>
  <c r="E9" i="1"/>
  <c r="E40" i="1"/>
  <c r="E107" i="1"/>
  <c r="E340" i="1"/>
  <c r="E333" i="1"/>
  <c r="E305" i="1"/>
  <c r="E327" i="1"/>
  <c r="E28" i="1"/>
  <c r="E159" i="1"/>
  <c r="E250" i="1"/>
  <c r="E227" i="1"/>
  <c r="E47" i="1"/>
  <c r="E342" i="1"/>
  <c r="E66" i="1"/>
  <c r="E17" i="1"/>
  <c r="E291" i="1"/>
  <c r="E311" i="1"/>
  <c r="E134" i="1"/>
  <c r="E213" i="1"/>
  <c r="E302" i="1"/>
  <c r="E292" i="1"/>
  <c r="E207" i="1"/>
  <c r="E35" i="1"/>
  <c r="E262" i="1"/>
  <c r="E307" i="1"/>
  <c r="E236" i="1"/>
  <c r="E303" i="1"/>
  <c r="E96" i="1"/>
  <c r="E45" i="1"/>
  <c r="E156" i="1"/>
  <c r="E92" i="1"/>
  <c r="E190" i="1"/>
  <c r="E329" i="1"/>
  <c r="E205" i="1"/>
  <c r="E304" i="1"/>
  <c r="E148" i="1"/>
  <c r="E101" i="1"/>
  <c r="E265" i="1"/>
  <c r="E242" i="1"/>
  <c r="E330" i="1"/>
  <c r="E310" i="1"/>
  <c r="E188" i="1"/>
  <c r="E359" i="1"/>
  <c r="E200" i="1"/>
  <c r="E322" i="1"/>
  <c r="E198" i="1"/>
  <c r="E69" i="1"/>
  <c r="E300" i="1"/>
  <c r="E63" i="1"/>
  <c r="E67" i="1"/>
  <c r="E75" i="1"/>
  <c r="E186" i="1"/>
  <c r="E214" i="1"/>
  <c r="E309" i="1"/>
  <c r="E334" i="1"/>
  <c r="E246" i="1"/>
  <c r="E81" i="1"/>
  <c r="E221" i="1"/>
  <c r="E232" i="1"/>
  <c r="E223" i="1"/>
  <c r="E324" i="1"/>
  <c r="E337" i="1"/>
  <c r="E13" i="1"/>
  <c r="E55" i="1"/>
  <c r="E172" i="1"/>
  <c r="E76" i="1"/>
  <c r="E170" i="1"/>
  <c r="E54" i="1"/>
  <c r="E362" i="1"/>
  <c r="E192" i="1"/>
  <c r="E80" i="1"/>
  <c r="E117" i="1"/>
  <c r="E258" i="1"/>
  <c r="E72" i="1"/>
  <c r="E199" i="1"/>
  <c r="E87" i="1"/>
  <c r="E317" i="1"/>
  <c r="E136" i="1"/>
  <c r="E85" i="1"/>
  <c r="E150" i="1"/>
  <c r="E125" i="1"/>
  <c r="E283" i="1"/>
  <c r="E106" i="1"/>
  <c r="E353" i="1"/>
  <c r="E43" i="1"/>
  <c r="E118" i="1"/>
  <c r="E215" i="1"/>
  <c r="E195" i="1"/>
  <c r="E367" i="1"/>
  <c r="E212" i="1"/>
  <c r="E185" i="1"/>
  <c r="E160" i="1"/>
  <c r="E273" i="1"/>
  <c r="E226" i="1"/>
  <c r="E220" i="1"/>
  <c r="E360" i="1"/>
  <c r="E293" i="1"/>
  <c r="E138" i="1"/>
  <c r="E196" i="1"/>
  <c r="E119" i="1"/>
  <c r="E90" i="1"/>
  <c r="E179" i="1"/>
  <c r="E247" i="1"/>
  <c r="E326" i="1"/>
  <c r="E338" i="1"/>
  <c r="E145" i="1"/>
  <c r="E14" i="1"/>
  <c r="E249" i="1"/>
  <c r="E269" i="1"/>
  <c r="E121" i="1"/>
  <c r="E301" i="1"/>
  <c r="E94" i="1"/>
  <c r="E345" i="1"/>
  <c r="E268" i="1"/>
  <c r="E261" i="1"/>
  <c r="E77" i="1"/>
  <c r="E259" i="1"/>
  <c r="E46" i="1"/>
  <c r="E171" i="1"/>
  <c r="E252" i="1"/>
  <c r="E240" i="1"/>
  <c r="E42" i="1"/>
  <c r="E363" i="1"/>
  <c r="E182" i="1"/>
  <c r="E222" i="1"/>
  <c r="E287" i="1"/>
  <c r="E328" i="1"/>
  <c r="E316" i="1"/>
  <c r="E183" i="1"/>
  <c r="E357" i="1"/>
  <c r="E115" i="1"/>
  <c r="E99" i="1"/>
  <c r="E139" i="1"/>
  <c r="E60" i="1"/>
  <c r="E245" i="1"/>
  <c r="E280" i="1"/>
  <c r="E257" i="1"/>
  <c r="E233" i="1"/>
  <c r="E336" i="1"/>
  <c r="E31" i="1"/>
  <c r="E296" i="1"/>
  <c r="E173" i="1"/>
  <c r="E146" i="1"/>
  <c r="E243" i="1"/>
  <c r="E110" i="1"/>
  <c r="E231" i="1"/>
  <c r="E15" i="1"/>
  <c r="E216" i="1"/>
  <c r="E218" i="1"/>
  <c r="E78" i="1"/>
  <c r="E225" i="1"/>
  <c r="E234" i="1"/>
  <c r="E127" i="1"/>
  <c r="E105" i="1"/>
  <c r="E68" i="1"/>
  <c r="E147" i="1"/>
  <c r="E295" i="1"/>
  <c r="E204" i="1"/>
  <c r="E235" i="1"/>
  <c r="E352" i="1"/>
  <c r="E33" i="1"/>
  <c r="E281" i="1"/>
  <c r="E325" i="1"/>
  <c r="E321" i="1"/>
  <c r="E49" i="1"/>
  <c r="E50" i="1"/>
  <c r="E111" i="1"/>
  <c r="E323" i="1"/>
  <c r="E164" i="1"/>
  <c r="E335" i="1"/>
  <c r="E289" i="1"/>
  <c r="E152" i="1"/>
  <c r="E358" i="1"/>
  <c r="E44" i="1"/>
  <c r="E141" i="1"/>
  <c r="E229" i="1"/>
  <c r="E59" i="1"/>
  <c r="E191" i="1"/>
  <c r="E276" i="1"/>
  <c r="E343" i="1"/>
  <c r="E133" i="1"/>
  <c r="E275" i="1"/>
  <c r="E4" i="1"/>
  <c r="E193" i="1"/>
  <c r="E298" i="1"/>
  <c r="E263" i="1"/>
  <c r="E135" i="1"/>
  <c r="E142" i="1"/>
  <c r="E83" i="1"/>
  <c r="E113" i="1"/>
  <c r="E61" i="1"/>
  <c r="E168" i="1"/>
  <c r="E157" i="1"/>
  <c r="E114" i="1"/>
  <c r="E230" i="1"/>
  <c r="E144" i="1"/>
  <c r="E184" i="1"/>
  <c r="E187" i="1"/>
  <c r="E271" i="1"/>
  <c r="E348" i="1"/>
  <c r="E120" i="1"/>
  <c r="E248" i="1"/>
  <c r="E124" i="1"/>
  <c r="E254" i="1"/>
  <c r="E22" i="1"/>
  <c r="E354" i="1"/>
  <c r="E189" i="1"/>
  <c r="E155" i="1"/>
  <c r="E167" i="1"/>
  <c r="E39" i="1"/>
  <c r="E73" i="1"/>
  <c r="E364" i="1"/>
  <c r="E176" i="1"/>
  <c r="E266" i="1"/>
  <c r="E37" i="1"/>
  <c r="E108" i="1"/>
  <c r="E209" i="1"/>
  <c r="E318" i="1"/>
  <c r="E350" i="1"/>
  <c r="E12" i="1"/>
  <c r="E64" i="1"/>
  <c r="E70" i="1"/>
  <c r="E131" i="1"/>
  <c r="E58" i="1"/>
  <c r="E154" i="1"/>
  <c r="E51" i="1"/>
  <c r="E228" i="1"/>
  <c r="E297" i="1"/>
  <c r="E91" i="1"/>
  <c r="E239" i="1"/>
  <c r="E294" i="1"/>
  <c r="E100" i="1"/>
  <c r="E355" i="1"/>
  <c r="E344" i="1"/>
  <c r="E282" i="1"/>
  <c r="E112" i="1"/>
  <c r="E123" i="1"/>
  <c r="E132" i="1"/>
  <c r="E180" i="1"/>
  <c r="E175" i="1"/>
  <c r="E19" i="1"/>
  <c r="E29" i="1"/>
  <c r="E23" i="1"/>
  <c r="E7" i="1"/>
  <c r="E116" i="1"/>
  <c r="E238" i="1"/>
  <c r="E5" i="1"/>
  <c r="E286" i="1"/>
  <c r="E89" i="1"/>
  <c r="E260" i="1"/>
  <c r="E312" i="1"/>
  <c r="E237" i="1"/>
  <c r="E320" i="1"/>
  <c r="E224" i="1"/>
  <c r="E97" i="1"/>
  <c r="E128" i="1"/>
  <c r="E197" i="1"/>
  <c r="E349" i="1"/>
  <c r="E274" i="1"/>
  <c r="E339" i="1"/>
  <c r="E8" i="1"/>
  <c r="E52" i="1"/>
  <c r="E20" i="1"/>
  <c r="E278" i="1"/>
  <c r="E169" i="1"/>
  <c r="E71" i="1"/>
  <c r="E25" i="1"/>
  <c r="E251" i="1"/>
  <c r="E219" i="1"/>
  <c r="E277" i="1"/>
  <c r="E38" i="1"/>
  <c r="E79" i="1"/>
  <c r="E27" i="1"/>
  <c r="E174" i="1"/>
  <c r="E161" i="1"/>
  <c r="E163" i="1"/>
  <c r="E264" i="1"/>
  <c r="E84" i="1"/>
  <c r="E93" i="1"/>
  <c r="E65" i="1"/>
  <c r="E88" i="1"/>
  <c r="E315" i="1"/>
  <c r="E48" i="1"/>
  <c r="E253" i="1"/>
  <c r="E314" i="1"/>
  <c r="E129" i="1"/>
  <c r="E177" i="1"/>
  <c r="E288" i="1"/>
  <c r="E203" i="1"/>
  <c r="E270" i="1"/>
  <c r="E241" i="1"/>
  <c r="E130" i="1"/>
  <c r="E346" i="1"/>
  <c r="E57" i="1"/>
  <c r="E162" i="1"/>
  <c r="E206" i="1"/>
  <c r="E201" i="1"/>
  <c r="E279" i="1"/>
  <c r="E34" i="1"/>
  <c r="E285" i="1"/>
  <c r="E313" i="1"/>
  <c r="E284" i="1"/>
  <c r="E30" i="1"/>
  <c r="E256" i="1"/>
  <c r="E181" i="1"/>
  <c r="D332" i="1"/>
  <c r="D166" i="1"/>
  <c r="D149" i="1"/>
  <c r="D53" i="1"/>
  <c r="D104" i="1"/>
  <c r="D210" i="1"/>
  <c r="D158" i="1"/>
  <c r="D361" i="1"/>
  <c r="D341" i="1"/>
  <c r="D194" i="1"/>
  <c r="D365" i="1"/>
  <c r="D153" i="1"/>
  <c r="D24" i="1"/>
  <c r="D82" i="1"/>
  <c r="D86" i="1"/>
  <c r="D16" i="1"/>
  <c r="D98" i="1"/>
  <c r="D356" i="1"/>
  <c r="D255" i="1"/>
  <c r="D21" i="1"/>
  <c r="D95" i="1"/>
  <c r="D41" i="1"/>
  <c r="D308" i="1"/>
  <c r="D143" i="1"/>
  <c r="D306" i="1"/>
  <c r="D211" i="1"/>
  <c r="D11" i="1"/>
  <c r="D18" i="1"/>
  <c r="D290" i="1"/>
  <c r="D331" i="1"/>
  <c r="D351" i="1"/>
  <c r="D122" i="1"/>
  <c r="D217" i="1"/>
  <c r="D6" i="1"/>
  <c r="D109" i="1"/>
  <c r="D267" i="1"/>
  <c r="D244" i="1"/>
  <c r="D366" i="1"/>
  <c r="D319" i="1"/>
  <c r="D202" i="1"/>
  <c r="D32" i="1"/>
  <c r="D36" i="1"/>
  <c r="D62" i="1"/>
  <c r="D102" i="1"/>
  <c r="D126" i="1"/>
  <c r="D178" i="1"/>
  <c r="D151" i="1"/>
  <c r="D74" i="1"/>
  <c r="D299" i="1"/>
  <c r="D56" i="1"/>
  <c r="D347" i="1"/>
  <c r="D137" i="1"/>
  <c r="D165" i="1"/>
  <c r="D103" i="1"/>
  <c r="D272" i="1"/>
  <c r="D26" i="1"/>
  <c r="D10" i="1"/>
  <c r="D140" i="1"/>
  <c r="D208" i="1"/>
  <c r="D9" i="1"/>
  <c r="D40" i="1"/>
  <c r="D107" i="1"/>
  <c r="D340" i="1"/>
  <c r="D333" i="1"/>
  <c r="D305" i="1"/>
  <c r="D327" i="1"/>
  <c r="D28" i="1"/>
  <c r="D159" i="1"/>
  <c r="D250" i="1"/>
  <c r="D227" i="1"/>
  <c r="D47" i="1"/>
  <c r="D342" i="1"/>
  <c r="D66" i="1"/>
  <c r="D17" i="1"/>
  <c r="D291" i="1"/>
  <c r="D311" i="1"/>
  <c r="D134" i="1"/>
  <c r="D213" i="1"/>
  <c r="D302" i="1"/>
  <c r="D292" i="1"/>
  <c r="D207" i="1"/>
  <c r="D35" i="1"/>
  <c r="D262" i="1"/>
  <c r="D307" i="1"/>
  <c r="D236" i="1"/>
  <c r="D303" i="1"/>
  <c r="D96" i="1"/>
  <c r="D45" i="1"/>
  <c r="D156" i="1"/>
  <c r="D92" i="1"/>
  <c r="D190" i="1"/>
  <c r="D329" i="1"/>
  <c r="D205" i="1"/>
  <c r="D304" i="1"/>
  <c r="D148" i="1"/>
  <c r="D101" i="1"/>
  <c r="D265" i="1"/>
  <c r="D242" i="1"/>
  <c r="D330" i="1"/>
  <c r="D310" i="1"/>
  <c r="D188" i="1"/>
  <c r="D359" i="1"/>
  <c r="D200" i="1"/>
  <c r="D322" i="1"/>
  <c r="D198" i="1"/>
  <c r="D69" i="1"/>
  <c r="D300" i="1"/>
  <c r="D63" i="1"/>
  <c r="D67" i="1"/>
  <c r="D75" i="1"/>
  <c r="D186" i="1"/>
  <c r="D214" i="1"/>
  <c r="D309" i="1"/>
  <c r="D334" i="1"/>
  <c r="D246" i="1"/>
  <c r="D81" i="1"/>
  <c r="D221" i="1"/>
  <c r="D232" i="1"/>
  <c r="D223" i="1"/>
  <c r="D324" i="1"/>
  <c r="D337" i="1"/>
  <c r="D13" i="1"/>
  <c r="D55" i="1"/>
  <c r="D172" i="1"/>
  <c r="D76" i="1"/>
  <c r="D170" i="1"/>
  <c r="D54" i="1"/>
  <c r="D362" i="1"/>
  <c r="D192" i="1"/>
  <c r="D80" i="1"/>
  <c r="D117" i="1"/>
  <c r="D258" i="1"/>
  <c r="D72" i="1"/>
  <c r="D199" i="1"/>
  <c r="D87" i="1"/>
  <c r="D317" i="1"/>
  <c r="D136" i="1"/>
  <c r="D85" i="1"/>
  <c r="D150" i="1"/>
  <c r="D125" i="1"/>
  <c r="D283" i="1"/>
  <c r="D106" i="1"/>
  <c r="D353" i="1"/>
  <c r="D43" i="1"/>
  <c r="D118" i="1"/>
  <c r="D215" i="1"/>
  <c r="D195" i="1"/>
  <c r="D367" i="1"/>
  <c r="D212" i="1"/>
  <c r="D185" i="1"/>
  <c r="D160" i="1"/>
  <c r="D273" i="1"/>
  <c r="D226" i="1"/>
  <c r="D220" i="1"/>
  <c r="D360" i="1"/>
  <c r="D293" i="1"/>
  <c r="D138" i="1"/>
  <c r="D196" i="1"/>
  <c r="D119" i="1"/>
  <c r="D90" i="1"/>
  <c r="D179" i="1"/>
  <c r="D247" i="1"/>
  <c r="D326" i="1"/>
  <c r="D338" i="1"/>
  <c r="D145" i="1"/>
  <c r="D14" i="1"/>
  <c r="D249" i="1"/>
  <c r="D269" i="1"/>
  <c r="D121" i="1"/>
  <c r="D301" i="1"/>
  <c r="D94" i="1"/>
  <c r="D345" i="1"/>
  <c r="D268" i="1"/>
  <c r="D261" i="1"/>
  <c r="D77" i="1"/>
  <c r="D259" i="1"/>
  <c r="D46" i="1"/>
  <c r="D171" i="1"/>
  <c r="D252" i="1"/>
  <c r="D240" i="1"/>
  <c r="D42" i="1"/>
  <c r="D363" i="1"/>
  <c r="D182" i="1"/>
  <c r="D222" i="1"/>
  <c r="D287" i="1"/>
  <c r="D328" i="1"/>
  <c r="D316" i="1"/>
  <c r="D183" i="1"/>
  <c r="D357" i="1"/>
  <c r="D115" i="1"/>
  <c r="D99" i="1"/>
  <c r="D139" i="1"/>
  <c r="D60" i="1"/>
  <c r="D245" i="1"/>
  <c r="D280" i="1"/>
  <c r="D257" i="1"/>
  <c r="D233" i="1"/>
  <c r="D336" i="1"/>
  <c r="D31" i="1"/>
  <c r="D296" i="1"/>
  <c r="D173" i="1"/>
  <c r="D146" i="1"/>
  <c r="D243" i="1"/>
  <c r="D110" i="1"/>
  <c r="D231" i="1"/>
  <c r="D15" i="1"/>
  <c r="D216" i="1"/>
  <c r="D218" i="1"/>
  <c r="D78" i="1"/>
  <c r="D225" i="1"/>
  <c r="D234" i="1"/>
  <c r="D127" i="1"/>
  <c r="D105" i="1"/>
  <c r="D68" i="1"/>
  <c r="D147" i="1"/>
  <c r="D295" i="1"/>
  <c r="D204" i="1"/>
  <c r="D235" i="1"/>
  <c r="D352" i="1"/>
  <c r="D33" i="1"/>
  <c r="D281" i="1"/>
  <c r="D325" i="1"/>
  <c r="D321" i="1"/>
  <c r="D49" i="1"/>
  <c r="D50" i="1"/>
  <c r="D111" i="1"/>
  <c r="D323" i="1"/>
  <c r="D164" i="1"/>
  <c r="D335" i="1"/>
  <c r="D289" i="1"/>
  <c r="D152" i="1"/>
  <c r="D358" i="1"/>
  <c r="D44" i="1"/>
  <c r="D141" i="1"/>
  <c r="D229" i="1"/>
  <c r="D59" i="1"/>
  <c r="D191" i="1"/>
  <c r="D276" i="1"/>
  <c r="D343" i="1"/>
  <c r="D133" i="1"/>
  <c r="D275" i="1"/>
  <c r="D4" i="1"/>
  <c r="D193" i="1"/>
  <c r="D298" i="1"/>
  <c r="D263" i="1"/>
  <c r="D135" i="1"/>
  <c r="D142" i="1"/>
  <c r="D83" i="1"/>
  <c r="D113" i="1"/>
  <c r="D61" i="1"/>
  <c r="D168" i="1"/>
  <c r="D157" i="1"/>
  <c r="D114" i="1"/>
  <c r="D230" i="1"/>
  <c r="D144" i="1"/>
  <c r="D184" i="1"/>
  <c r="D187" i="1"/>
  <c r="D271" i="1"/>
  <c r="D348" i="1"/>
  <c r="D120" i="1"/>
  <c r="D248" i="1"/>
  <c r="D124" i="1"/>
  <c r="D254" i="1"/>
  <c r="D22" i="1"/>
  <c r="D354" i="1"/>
  <c r="D189" i="1"/>
  <c r="D155" i="1"/>
  <c r="D167" i="1"/>
  <c r="D39" i="1"/>
  <c r="D73" i="1"/>
  <c r="D364" i="1"/>
  <c r="D176" i="1"/>
  <c r="D266" i="1"/>
  <c r="D37" i="1"/>
  <c r="D108" i="1"/>
  <c r="D209" i="1"/>
  <c r="D318" i="1"/>
  <c r="D350" i="1"/>
  <c r="D12" i="1"/>
  <c r="D64" i="1"/>
  <c r="D70" i="1"/>
  <c r="D131" i="1"/>
  <c r="D58" i="1"/>
  <c r="D154" i="1"/>
  <c r="D51" i="1"/>
  <c r="D228" i="1"/>
  <c r="D297" i="1"/>
  <c r="D91" i="1"/>
  <c r="D239" i="1"/>
  <c r="D294" i="1"/>
  <c r="D100" i="1"/>
  <c r="D355" i="1"/>
  <c r="D344" i="1"/>
  <c r="D282" i="1"/>
  <c r="D112" i="1"/>
  <c r="D123" i="1"/>
  <c r="D132" i="1"/>
  <c r="D180" i="1"/>
  <c r="D175" i="1"/>
  <c r="D19" i="1"/>
  <c r="D29" i="1"/>
  <c r="D23" i="1"/>
  <c r="D7" i="1"/>
  <c r="D116" i="1"/>
  <c r="D238" i="1"/>
  <c r="D5" i="1"/>
  <c r="D286" i="1"/>
  <c r="D89" i="1"/>
  <c r="D260" i="1"/>
  <c r="D312" i="1"/>
  <c r="D237" i="1"/>
  <c r="D320" i="1"/>
  <c r="D224" i="1"/>
  <c r="D97" i="1"/>
  <c r="D128" i="1"/>
  <c r="D197" i="1"/>
  <c r="D349" i="1"/>
  <c r="D274" i="1"/>
  <c r="D339" i="1"/>
  <c r="D8" i="1"/>
  <c r="D52" i="1"/>
  <c r="D20" i="1"/>
  <c r="D278" i="1"/>
  <c r="D169" i="1"/>
  <c r="D71" i="1"/>
  <c r="D25" i="1"/>
  <c r="D251" i="1"/>
  <c r="D219" i="1"/>
  <c r="D277" i="1"/>
  <c r="D38" i="1"/>
  <c r="D79" i="1"/>
  <c r="D27" i="1"/>
  <c r="D174" i="1"/>
  <c r="D161" i="1"/>
  <c r="D163" i="1"/>
  <c r="D264" i="1"/>
  <c r="D84" i="1"/>
  <c r="D93" i="1"/>
  <c r="D65" i="1"/>
  <c r="D88" i="1"/>
  <c r="D315" i="1"/>
  <c r="D48" i="1"/>
  <c r="D253" i="1"/>
  <c r="D314" i="1"/>
  <c r="D129" i="1"/>
  <c r="D177" i="1"/>
  <c r="D288" i="1"/>
  <c r="D203" i="1"/>
  <c r="D270" i="1"/>
  <c r="D241" i="1"/>
  <c r="D130" i="1"/>
  <c r="D346" i="1"/>
  <c r="D57" i="1"/>
  <c r="D162" i="1"/>
  <c r="D206" i="1"/>
  <c r="D201" i="1"/>
  <c r="D279" i="1"/>
  <c r="D34" i="1"/>
  <c r="D285" i="1"/>
  <c r="D313" i="1"/>
  <c r="D284" i="1"/>
  <c r="D30" i="1"/>
  <c r="D256" i="1"/>
  <c r="D181" i="1"/>
  <c r="C332" i="1"/>
  <c r="C166" i="1"/>
  <c r="C149" i="1"/>
  <c r="C53" i="1"/>
  <c r="C104" i="1"/>
  <c r="C210" i="1"/>
  <c r="C158" i="1"/>
  <c r="C361" i="1"/>
  <c r="C341" i="1"/>
  <c r="C194" i="1"/>
  <c r="C365" i="1"/>
  <c r="C153" i="1"/>
  <c r="C24" i="1"/>
  <c r="C82" i="1"/>
  <c r="C86" i="1"/>
  <c r="C16" i="1"/>
  <c r="C98" i="1"/>
  <c r="C356" i="1"/>
  <c r="C255" i="1"/>
  <c r="C21" i="1"/>
  <c r="C95" i="1"/>
  <c r="C41" i="1"/>
  <c r="C308" i="1"/>
  <c r="C143" i="1"/>
  <c r="C306" i="1"/>
  <c r="C211" i="1"/>
  <c r="C11" i="1"/>
  <c r="C18" i="1"/>
  <c r="C290" i="1"/>
  <c r="C331" i="1"/>
  <c r="C351" i="1"/>
  <c r="C122" i="1"/>
  <c r="C217" i="1"/>
  <c r="C6" i="1"/>
  <c r="C109" i="1"/>
  <c r="C267" i="1"/>
  <c r="C244" i="1"/>
  <c r="C366" i="1"/>
  <c r="C319" i="1"/>
  <c r="C202" i="1"/>
  <c r="C32" i="1"/>
  <c r="C36" i="1"/>
  <c r="C62" i="1"/>
  <c r="C102" i="1"/>
  <c r="C126" i="1"/>
  <c r="C178" i="1"/>
  <c r="C151" i="1"/>
  <c r="C74" i="1"/>
  <c r="C299" i="1"/>
  <c r="C56" i="1"/>
  <c r="C347" i="1"/>
  <c r="C137" i="1"/>
  <c r="C165" i="1"/>
  <c r="C103" i="1"/>
  <c r="C272" i="1"/>
  <c r="C26" i="1"/>
  <c r="C10" i="1"/>
  <c r="C140" i="1"/>
  <c r="C208" i="1"/>
  <c r="C9" i="1"/>
  <c r="C40" i="1"/>
  <c r="C107" i="1"/>
  <c r="C340" i="1"/>
  <c r="C333" i="1"/>
  <c r="C305" i="1"/>
  <c r="C327" i="1"/>
  <c r="C28" i="1"/>
  <c r="C159" i="1"/>
  <c r="C250" i="1"/>
  <c r="C227" i="1"/>
  <c r="C47" i="1"/>
  <c r="C342" i="1"/>
  <c r="C66" i="1"/>
  <c r="C17" i="1"/>
  <c r="C291" i="1"/>
  <c r="C311" i="1"/>
  <c r="C134" i="1"/>
  <c r="C213" i="1"/>
  <c r="C302" i="1"/>
  <c r="C292" i="1"/>
  <c r="C207" i="1"/>
  <c r="C35" i="1"/>
  <c r="C262" i="1"/>
  <c r="C307" i="1"/>
  <c r="C236" i="1"/>
  <c r="C303" i="1"/>
  <c r="C96" i="1"/>
  <c r="C45" i="1"/>
  <c r="C156" i="1"/>
  <c r="C92" i="1"/>
  <c r="C190" i="1"/>
  <c r="C329" i="1"/>
  <c r="C205" i="1"/>
  <c r="C304" i="1"/>
  <c r="C148" i="1"/>
  <c r="C101" i="1"/>
  <c r="C265" i="1"/>
  <c r="C242" i="1"/>
  <c r="C330" i="1"/>
  <c r="C310" i="1"/>
  <c r="C188" i="1"/>
  <c r="C359" i="1"/>
  <c r="C200" i="1"/>
  <c r="C322" i="1"/>
  <c r="C198" i="1"/>
  <c r="C69" i="1"/>
  <c r="C300" i="1"/>
  <c r="C63" i="1"/>
  <c r="C67" i="1"/>
  <c r="C75" i="1"/>
  <c r="C186" i="1"/>
  <c r="C214" i="1"/>
  <c r="C309" i="1"/>
  <c r="C334" i="1"/>
  <c r="C246" i="1"/>
  <c r="C81" i="1"/>
  <c r="C221" i="1"/>
  <c r="C232" i="1"/>
  <c r="C223" i="1"/>
  <c r="C324" i="1"/>
  <c r="C337" i="1"/>
  <c r="C13" i="1"/>
  <c r="C55" i="1"/>
  <c r="C172" i="1"/>
  <c r="C76" i="1"/>
  <c r="C170" i="1"/>
  <c r="C54" i="1"/>
  <c r="C362" i="1"/>
  <c r="C192" i="1"/>
  <c r="C80" i="1"/>
  <c r="C117" i="1"/>
  <c r="C258" i="1"/>
  <c r="C72" i="1"/>
  <c r="C199" i="1"/>
  <c r="C87" i="1"/>
  <c r="C317" i="1"/>
  <c r="C136" i="1"/>
  <c r="C85" i="1"/>
  <c r="C150" i="1"/>
  <c r="C125" i="1"/>
  <c r="C283" i="1"/>
  <c r="C106" i="1"/>
  <c r="C353" i="1"/>
  <c r="C43" i="1"/>
  <c r="C118" i="1"/>
  <c r="C215" i="1"/>
  <c r="C195" i="1"/>
  <c r="C367" i="1"/>
  <c r="C212" i="1"/>
  <c r="C185" i="1"/>
  <c r="C160" i="1"/>
  <c r="C273" i="1"/>
  <c r="C226" i="1"/>
  <c r="C220" i="1"/>
  <c r="C360" i="1"/>
  <c r="C293" i="1"/>
  <c r="C138" i="1"/>
  <c r="C196" i="1"/>
  <c r="C119" i="1"/>
  <c r="C90" i="1"/>
  <c r="C179" i="1"/>
  <c r="C247" i="1"/>
  <c r="C326" i="1"/>
  <c r="C338" i="1"/>
  <c r="C145" i="1"/>
  <c r="C14" i="1"/>
  <c r="C249" i="1"/>
  <c r="C269" i="1"/>
  <c r="C121" i="1"/>
  <c r="C301" i="1"/>
  <c r="C94" i="1"/>
  <c r="C345" i="1"/>
  <c r="C268" i="1"/>
  <c r="C261" i="1"/>
  <c r="C77" i="1"/>
  <c r="C259" i="1"/>
  <c r="C46" i="1"/>
  <c r="C171" i="1"/>
  <c r="C252" i="1"/>
  <c r="C240" i="1"/>
  <c r="C42" i="1"/>
  <c r="C363" i="1"/>
  <c r="C182" i="1"/>
  <c r="C222" i="1"/>
  <c r="C287" i="1"/>
  <c r="C328" i="1"/>
  <c r="C316" i="1"/>
  <c r="C183" i="1"/>
  <c r="C357" i="1"/>
  <c r="C115" i="1"/>
  <c r="C99" i="1"/>
  <c r="C139" i="1"/>
  <c r="C60" i="1"/>
  <c r="C245" i="1"/>
  <c r="C280" i="1"/>
  <c r="C257" i="1"/>
  <c r="C233" i="1"/>
  <c r="C336" i="1"/>
  <c r="C31" i="1"/>
  <c r="C296" i="1"/>
  <c r="C173" i="1"/>
  <c r="C146" i="1"/>
  <c r="C243" i="1"/>
  <c r="C110" i="1"/>
  <c r="C231" i="1"/>
  <c r="C15" i="1"/>
  <c r="C216" i="1"/>
  <c r="C218" i="1"/>
  <c r="C78" i="1"/>
  <c r="C225" i="1"/>
  <c r="C234" i="1"/>
  <c r="C127" i="1"/>
  <c r="C105" i="1"/>
  <c r="C68" i="1"/>
  <c r="C147" i="1"/>
  <c r="C295" i="1"/>
  <c r="C204" i="1"/>
  <c r="C235" i="1"/>
  <c r="C352" i="1"/>
  <c r="C33" i="1"/>
  <c r="C281" i="1"/>
  <c r="C325" i="1"/>
  <c r="C321" i="1"/>
  <c r="C49" i="1"/>
  <c r="C50" i="1"/>
  <c r="C111" i="1"/>
  <c r="C323" i="1"/>
  <c r="C164" i="1"/>
  <c r="C335" i="1"/>
  <c r="C289" i="1"/>
  <c r="C152" i="1"/>
  <c r="C358" i="1"/>
  <c r="C44" i="1"/>
  <c r="C141" i="1"/>
  <c r="C229" i="1"/>
  <c r="C59" i="1"/>
  <c r="C191" i="1"/>
  <c r="C276" i="1"/>
  <c r="C343" i="1"/>
  <c r="C133" i="1"/>
  <c r="C275" i="1"/>
  <c r="C4" i="1"/>
  <c r="C193" i="1"/>
  <c r="C298" i="1"/>
  <c r="C263" i="1"/>
  <c r="C135" i="1"/>
  <c r="C142" i="1"/>
  <c r="C83" i="1"/>
  <c r="C113" i="1"/>
  <c r="C61" i="1"/>
  <c r="C168" i="1"/>
  <c r="C157" i="1"/>
  <c r="C114" i="1"/>
  <c r="C230" i="1"/>
  <c r="C144" i="1"/>
  <c r="C184" i="1"/>
  <c r="C187" i="1"/>
  <c r="C271" i="1"/>
  <c r="C348" i="1"/>
  <c r="C120" i="1"/>
  <c r="C248" i="1"/>
  <c r="C124" i="1"/>
  <c r="C254" i="1"/>
  <c r="C22" i="1"/>
  <c r="C354" i="1"/>
  <c r="C189" i="1"/>
  <c r="C155" i="1"/>
  <c r="C167" i="1"/>
  <c r="C39" i="1"/>
  <c r="C73" i="1"/>
  <c r="C364" i="1"/>
  <c r="C176" i="1"/>
  <c r="C266" i="1"/>
  <c r="C37" i="1"/>
  <c r="C108" i="1"/>
  <c r="C209" i="1"/>
  <c r="C318" i="1"/>
  <c r="C350" i="1"/>
  <c r="C12" i="1"/>
  <c r="C64" i="1"/>
  <c r="C70" i="1"/>
  <c r="C131" i="1"/>
  <c r="C58" i="1"/>
  <c r="C154" i="1"/>
  <c r="C51" i="1"/>
  <c r="C228" i="1"/>
  <c r="C297" i="1"/>
  <c r="C91" i="1"/>
  <c r="C239" i="1"/>
  <c r="C294" i="1"/>
  <c r="C100" i="1"/>
  <c r="C355" i="1"/>
  <c r="C344" i="1"/>
  <c r="C282" i="1"/>
  <c r="C112" i="1"/>
  <c r="C123" i="1"/>
  <c r="C132" i="1"/>
  <c r="C180" i="1"/>
  <c r="C175" i="1"/>
  <c r="C19" i="1"/>
  <c r="C29" i="1"/>
  <c r="C23" i="1"/>
  <c r="C7" i="1"/>
  <c r="C116" i="1"/>
  <c r="C238" i="1"/>
  <c r="C5" i="1"/>
  <c r="C286" i="1"/>
  <c r="C89" i="1"/>
  <c r="C260" i="1"/>
  <c r="C312" i="1"/>
  <c r="C237" i="1"/>
  <c r="C320" i="1"/>
  <c r="C224" i="1"/>
  <c r="C97" i="1"/>
  <c r="C128" i="1"/>
  <c r="C197" i="1"/>
  <c r="C349" i="1"/>
  <c r="C274" i="1"/>
  <c r="C339" i="1"/>
  <c r="C8" i="1"/>
  <c r="C52" i="1"/>
  <c r="C20" i="1"/>
  <c r="C278" i="1"/>
  <c r="C169" i="1"/>
  <c r="C71" i="1"/>
  <c r="C25" i="1"/>
  <c r="C251" i="1"/>
  <c r="C219" i="1"/>
  <c r="C277" i="1"/>
  <c r="C38" i="1"/>
  <c r="C79" i="1"/>
  <c r="C27" i="1"/>
  <c r="C174" i="1"/>
  <c r="C161" i="1"/>
  <c r="C163" i="1"/>
  <c r="C264" i="1"/>
  <c r="C84" i="1"/>
  <c r="C93" i="1"/>
  <c r="C65" i="1"/>
  <c r="C88" i="1"/>
  <c r="C315" i="1"/>
  <c r="C48" i="1"/>
  <c r="C253" i="1"/>
  <c r="C314" i="1"/>
  <c r="C129" i="1"/>
  <c r="C177" i="1"/>
  <c r="C288" i="1"/>
  <c r="C203" i="1"/>
  <c r="C270" i="1"/>
  <c r="C241" i="1"/>
  <c r="C130" i="1"/>
  <c r="C346" i="1"/>
  <c r="C57" i="1"/>
  <c r="C162" i="1"/>
  <c r="C206" i="1"/>
  <c r="C201" i="1"/>
  <c r="C279" i="1"/>
  <c r="C34" i="1"/>
  <c r="C285" i="1"/>
  <c r="C313" i="1"/>
  <c r="C284" i="1"/>
  <c r="C30" i="1"/>
  <c r="C256" i="1"/>
  <c r="C181" i="1"/>
  <c r="B177" i="1"/>
  <c r="B129" i="1"/>
  <c r="B314" i="1"/>
  <c r="B253" i="1"/>
  <c r="B48" i="1"/>
  <c r="B315" i="1"/>
  <c r="B88" i="1"/>
  <c r="B65" i="1"/>
  <c r="B93" i="1"/>
  <c r="B84" i="1"/>
  <c r="B264" i="1"/>
  <c r="B163" i="1"/>
  <c r="B161" i="1"/>
  <c r="B174" i="1"/>
  <c r="B27" i="1"/>
  <c r="B79" i="1"/>
  <c r="B38" i="1"/>
  <c r="B277" i="1"/>
  <c r="B219" i="1"/>
  <c r="B251" i="1"/>
  <c r="B25" i="1"/>
  <c r="B71" i="1"/>
  <c r="B169" i="1"/>
  <c r="B278" i="1"/>
  <c r="B20" i="1"/>
  <c r="B52" i="1"/>
  <c r="B8" i="1"/>
  <c r="B339" i="1"/>
  <c r="B274" i="1"/>
  <c r="B349" i="1"/>
  <c r="B197" i="1"/>
  <c r="B128" i="1"/>
  <c r="B97" i="1"/>
  <c r="B224" i="1"/>
  <c r="B320" i="1"/>
  <c r="B237" i="1"/>
  <c r="B312" i="1"/>
  <c r="B260" i="1"/>
  <c r="B89" i="1"/>
  <c r="B286" i="1"/>
  <c r="B5" i="1"/>
  <c r="B238" i="1"/>
  <c r="B116" i="1"/>
  <c r="B7" i="1"/>
  <c r="B23" i="1"/>
  <c r="B29" i="1"/>
  <c r="B19" i="1"/>
  <c r="B175" i="1"/>
  <c r="B180" i="1"/>
  <c r="B132" i="1"/>
  <c r="B123" i="1"/>
  <c r="B112" i="1"/>
  <c r="B282" i="1"/>
  <c r="B344" i="1"/>
  <c r="B355" i="1"/>
  <c r="B100" i="1"/>
  <c r="B294" i="1"/>
  <c r="B239" i="1"/>
  <c r="B91" i="1"/>
  <c r="B297" i="1"/>
  <c r="B228" i="1"/>
  <c r="B51" i="1"/>
  <c r="B154" i="1"/>
  <c r="B58" i="1"/>
  <c r="B131" i="1"/>
  <c r="B70" i="1"/>
  <c r="B64" i="1"/>
  <c r="B12" i="1"/>
  <c r="B350" i="1"/>
  <c r="B318" i="1"/>
  <c r="B209" i="1"/>
  <c r="B108" i="1"/>
  <c r="B37" i="1"/>
  <c r="B266" i="1"/>
  <c r="B176" i="1"/>
  <c r="B364" i="1"/>
  <c r="B73" i="1"/>
  <c r="B39" i="1"/>
  <c r="B167" i="1"/>
  <c r="B155" i="1"/>
  <c r="B189" i="1"/>
  <c r="B354" i="1"/>
  <c r="B22" i="1"/>
  <c r="B254" i="1"/>
  <c r="B124" i="1"/>
  <c r="B248" i="1"/>
  <c r="B120" i="1"/>
  <c r="B348" i="1"/>
  <c r="B271" i="1"/>
  <c r="B187" i="1"/>
  <c r="B184" i="1"/>
  <c r="B144" i="1"/>
  <c r="B230" i="1"/>
  <c r="B114" i="1"/>
  <c r="B157" i="1"/>
  <c r="B168" i="1"/>
  <c r="B61" i="1"/>
  <c r="B113" i="1"/>
  <c r="B83" i="1"/>
  <c r="B142" i="1"/>
  <c r="B135" i="1"/>
  <c r="B263" i="1"/>
  <c r="B298" i="1"/>
  <c r="B193" i="1"/>
  <c r="B4" i="1"/>
  <c r="B275" i="1"/>
  <c r="B133" i="1"/>
  <c r="B343" i="1"/>
  <c r="B276" i="1"/>
  <c r="B191" i="1"/>
  <c r="B59" i="1"/>
  <c r="B229" i="1"/>
  <c r="B141" i="1"/>
  <c r="B44" i="1"/>
  <c r="B358" i="1"/>
  <c r="B152" i="1"/>
  <c r="B289" i="1"/>
  <c r="B335" i="1"/>
  <c r="B164" i="1"/>
  <c r="B323" i="1"/>
  <c r="B111" i="1"/>
  <c r="B50" i="1"/>
  <c r="B49" i="1"/>
  <c r="B321" i="1"/>
  <c r="B325" i="1"/>
  <c r="B281" i="1"/>
  <c r="B33" i="1"/>
  <c r="B352" i="1"/>
  <c r="B235" i="1"/>
  <c r="B204" i="1"/>
  <c r="B295" i="1"/>
  <c r="B147" i="1"/>
  <c r="B68" i="1"/>
  <c r="B105" i="1"/>
  <c r="B127" i="1"/>
  <c r="B234" i="1"/>
  <c r="B225" i="1"/>
  <c r="B78" i="1"/>
  <c r="B218" i="1"/>
  <c r="B216" i="1"/>
  <c r="B15" i="1"/>
  <c r="B231" i="1"/>
  <c r="B110" i="1"/>
  <c r="B243" i="1"/>
  <c r="B146" i="1"/>
  <c r="B173" i="1"/>
  <c r="B296" i="1"/>
  <c r="B31" i="1"/>
  <c r="B336" i="1"/>
  <c r="B233" i="1"/>
  <c r="B257" i="1"/>
  <c r="B280" i="1"/>
  <c r="B245" i="1"/>
  <c r="B60" i="1"/>
  <c r="B139" i="1"/>
  <c r="B99" i="1"/>
  <c r="B115" i="1"/>
  <c r="B357" i="1"/>
  <c r="B183" i="1"/>
  <c r="B316" i="1"/>
  <c r="B328" i="1"/>
  <c r="B287" i="1"/>
  <c r="B222" i="1"/>
  <c r="B182" i="1"/>
  <c r="B363" i="1"/>
  <c r="B42" i="1"/>
  <c r="B240" i="1"/>
  <c r="B252" i="1"/>
  <c r="B171" i="1"/>
  <c r="B46" i="1"/>
  <c r="B259" i="1"/>
  <c r="B77" i="1"/>
  <c r="B261" i="1"/>
  <c r="B268" i="1"/>
  <c r="B345" i="1"/>
  <c r="B94" i="1"/>
  <c r="B301" i="1"/>
  <c r="B121" i="1"/>
  <c r="B269" i="1"/>
  <c r="B249" i="1"/>
  <c r="B14" i="1"/>
  <c r="B145" i="1"/>
  <c r="B338" i="1"/>
  <c r="B326" i="1"/>
  <c r="B247" i="1"/>
  <c r="B179" i="1"/>
  <c r="B90" i="1"/>
  <c r="B119" i="1"/>
  <c r="B196" i="1"/>
  <c r="B138" i="1"/>
  <c r="B293" i="1"/>
  <c r="B360" i="1"/>
  <c r="B220" i="1"/>
  <c r="B226" i="1"/>
  <c r="B273" i="1"/>
  <c r="B160" i="1"/>
  <c r="B185" i="1"/>
  <c r="B212" i="1"/>
  <c r="B367" i="1"/>
  <c r="B195" i="1"/>
  <c r="B215" i="1"/>
  <c r="B118" i="1"/>
  <c r="B43" i="1"/>
  <c r="B353" i="1"/>
  <c r="B106" i="1"/>
  <c r="B283" i="1"/>
  <c r="B125" i="1"/>
  <c r="B150" i="1"/>
  <c r="B85" i="1"/>
  <c r="B136" i="1"/>
  <c r="B317" i="1"/>
  <c r="B87" i="1"/>
  <c r="B199" i="1"/>
  <c r="B72" i="1"/>
  <c r="B258" i="1"/>
  <c r="B117" i="1"/>
  <c r="B80" i="1"/>
  <c r="B192" i="1"/>
  <c r="B362" i="1"/>
  <c r="B54" i="1"/>
  <c r="B170" i="1"/>
  <c r="B76" i="1"/>
  <c r="B172" i="1"/>
  <c r="B55" i="1"/>
  <c r="B13" i="1"/>
  <c r="B337" i="1"/>
  <c r="B324" i="1"/>
  <c r="B223" i="1"/>
  <c r="B232" i="1"/>
  <c r="B221" i="1"/>
  <c r="B81" i="1"/>
  <c r="B246" i="1"/>
  <c r="B334" i="1"/>
  <c r="B309" i="1"/>
  <c r="B214" i="1"/>
  <c r="B186" i="1"/>
  <c r="B75" i="1"/>
  <c r="B67" i="1"/>
  <c r="B63" i="1"/>
  <c r="B300" i="1"/>
  <c r="B69" i="1"/>
  <c r="B198" i="1"/>
  <c r="B322" i="1"/>
  <c r="B200" i="1"/>
  <c r="B359" i="1"/>
  <c r="B188" i="1"/>
  <c r="B310" i="1"/>
  <c r="B330" i="1"/>
  <c r="B242" i="1"/>
  <c r="B265" i="1"/>
  <c r="B101" i="1"/>
  <c r="B148" i="1"/>
  <c r="B304" i="1"/>
  <c r="B205" i="1"/>
  <c r="B329" i="1"/>
  <c r="B190" i="1"/>
  <c r="B92" i="1"/>
  <c r="B156" i="1"/>
  <c r="B45" i="1"/>
  <c r="B96" i="1"/>
  <c r="B303" i="1"/>
  <c r="B236" i="1"/>
  <c r="B307" i="1"/>
  <c r="B262" i="1"/>
  <c r="B35" i="1"/>
  <c r="B207" i="1"/>
  <c r="B292" i="1"/>
  <c r="B302" i="1"/>
  <c r="B213" i="1"/>
  <c r="B134" i="1"/>
  <c r="B311" i="1"/>
  <c r="B291" i="1"/>
  <c r="B17" i="1"/>
  <c r="B66" i="1"/>
  <c r="B342" i="1"/>
  <c r="B47" i="1"/>
  <c r="B227" i="1"/>
  <c r="B250" i="1"/>
  <c r="B159" i="1"/>
  <c r="B28" i="1"/>
  <c r="B327" i="1"/>
  <c r="B305" i="1"/>
  <c r="B333" i="1"/>
  <c r="B340" i="1"/>
  <c r="B107" i="1"/>
  <c r="B40" i="1"/>
  <c r="B9" i="1"/>
  <c r="B208" i="1"/>
  <c r="B140" i="1"/>
  <c r="B10" i="1"/>
  <c r="B26" i="1"/>
  <c r="B272" i="1"/>
  <c r="B103" i="1"/>
  <c r="B165" i="1"/>
  <c r="B137" i="1"/>
  <c r="B347" i="1"/>
  <c r="B56" i="1"/>
  <c r="B299" i="1"/>
  <c r="B74" i="1"/>
  <c r="B151" i="1"/>
  <c r="B178" i="1"/>
  <c r="B126" i="1"/>
  <c r="B102" i="1"/>
  <c r="B62" i="1"/>
  <c r="B36" i="1"/>
  <c r="B32" i="1"/>
  <c r="B202" i="1"/>
  <c r="B319" i="1"/>
  <c r="B366" i="1"/>
  <c r="B244" i="1"/>
  <c r="B267" i="1"/>
  <c r="B109" i="1"/>
  <c r="B6" i="1"/>
  <c r="B217" i="1"/>
  <c r="B122" i="1"/>
  <c r="B351" i="1"/>
  <c r="B331" i="1"/>
  <c r="B290" i="1"/>
  <c r="B18" i="1"/>
  <c r="B11" i="1"/>
  <c r="B211" i="1"/>
  <c r="B306" i="1"/>
  <c r="B143" i="1"/>
  <c r="B308" i="1"/>
  <c r="B41" i="1"/>
  <c r="B95" i="1"/>
  <c r="B21" i="1"/>
  <c r="B255" i="1"/>
  <c r="B356" i="1"/>
  <c r="B98" i="1"/>
  <c r="B16" i="1"/>
  <c r="B86" i="1"/>
  <c r="B82" i="1"/>
  <c r="B24" i="1"/>
  <c r="B153" i="1"/>
  <c r="B365" i="1"/>
  <c r="B194" i="1"/>
  <c r="B341" i="1"/>
  <c r="B361" i="1"/>
  <c r="B158" i="1"/>
  <c r="B210" i="1"/>
  <c r="B104" i="1"/>
  <c r="B53" i="1"/>
  <c r="B149" i="1"/>
  <c r="B166" i="1"/>
  <c r="B332" i="1"/>
  <c r="B256" i="1"/>
  <c r="B30" i="1"/>
  <c r="B284" i="1"/>
  <c r="B313" i="1"/>
  <c r="B285" i="1"/>
  <c r="B34" i="1"/>
  <c r="B279" i="1"/>
  <c r="B201" i="1"/>
  <c r="B206" i="1"/>
  <c r="B162" i="1"/>
  <c r="B57" i="1"/>
  <c r="B346" i="1"/>
  <c r="B130" i="1"/>
  <c r="B241" i="1"/>
  <c r="B270" i="1"/>
  <c r="B203" i="1"/>
  <c r="B288" i="1"/>
  <c r="B181" i="1"/>
  <c r="A332" i="1"/>
  <c r="A166" i="1"/>
  <c r="A149" i="1"/>
  <c r="A53" i="1"/>
  <c r="A104" i="1"/>
  <c r="A210" i="1"/>
  <c r="A158" i="1"/>
  <c r="A361" i="1"/>
  <c r="A341" i="1"/>
  <c r="A194" i="1"/>
  <c r="A365" i="1"/>
  <c r="A153" i="1"/>
  <c r="A24" i="1"/>
  <c r="A82" i="1"/>
  <c r="A86" i="1"/>
  <c r="A16" i="1"/>
  <c r="A98" i="1"/>
  <c r="A356" i="1"/>
  <c r="A255" i="1"/>
  <c r="A21" i="1"/>
  <c r="A95" i="1"/>
  <c r="A41" i="1"/>
  <c r="A308" i="1"/>
  <c r="A143" i="1"/>
  <c r="A306" i="1"/>
  <c r="A211" i="1"/>
  <c r="A11" i="1"/>
  <c r="A18" i="1"/>
  <c r="A290" i="1"/>
  <c r="A331" i="1"/>
  <c r="A351" i="1"/>
  <c r="A122" i="1"/>
  <c r="A217" i="1"/>
  <c r="A6" i="1"/>
  <c r="A109" i="1"/>
  <c r="A267" i="1"/>
  <c r="A244" i="1"/>
  <c r="A366" i="1"/>
  <c r="A319" i="1"/>
  <c r="A202" i="1"/>
  <c r="A32" i="1"/>
  <c r="A36" i="1"/>
  <c r="A62" i="1"/>
  <c r="A102" i="1"/>
  <c r="A126" i="1"/>
  <c r="A178" i="1"/>
  <c r="A151" i="1"/>
  <c r="A74" i="1"/>
  <c r="A299" i="1"/>
  <c r="A56" i="1"/>
  <c r="A347" i="1"/>
  <c r="A137" i="1"/>
  <c r="A165" i="1"/>
  <c r="A103" i="1"/>
  <c r="A272" i="1"/>
  <c r="A26" i="1"/>
  <c r="A10" i="1"/>
  <c r="A140" i="1"/>
  <c r="A208" i="1"/>
  <c r="A9" i="1"/>
  <c r="A40" i="1"/>
  <c r="A107" i="1"/>
  <c r="A340" i="1"/>
  <c r="A333" i="1"/>
  <c r="A305" i="1"/>
  <c r="A327" i="1"/>
  <c r="A28" i="1"/>
  <c r="A159" i="1"/>
  <c r="A250" i="1"/>
  <c r="A227" i="1"/>
  <c r="A47" i="1"/>
  <c r="A342" i="1"/>
  <c r="A66" i="1"/>
  <c r="A17" i="1"/>
  <c r="A291" i="1"/>
  <c r="A311" i="1"/>
  <c r="A134" i="1"/>
  <c r="A213" i="1"/>
  <c r="A302" i="1"/>
  <c r="A292" i="1"/>
  <c r="A207" i="1"/>
  <c r="A35" i="1"/>
  <c r="A262" i="1"/>
  <c r="A307" i="1"/>
  <c r="A236" i="1"/>
  <c r="A303" i="1"/>
  <c r="A96" i="1"/>
  <c r="A45" i="1"/>
  <c r="A156" i="1"/>
  <c r="A92" i="1"/>
  <c r="A190" i="1"/>
  <c r="A329" i="1"/>
  <c r="A205" i="1"/>
  <c r="A304" i="1"/>
  <c r="A148" i="1"/>
  <c r="A101" i="1"/>
  <c r="A265" i="1"/>
  <c r="A242" i="1"/>
  <c r="A330" i="1"/>
  <c r="A310" i="1"/>
  <c r="A188" i="1"/>
  <c r="A359" i="1"/>
  <c r="A200" i="1"/>
  <c r="A322" i="1"/>
  <c r="A198" i="1"/>
  <c r="A69" i="1"/>
  <c r="A300" i="1"/>
  <c r="A63" i="1"/>
  <c r="A67" i="1"/>
  <c r="A75" i="1"/>
  <c r="A186" i="1"/>
  <c r="A214" i="1"/>
  <c r="A309" i="1"/>
  <c r="A334" i="1"/>
  <c r="A246" i="1"/>
  <c r="A81" i="1"/>
  <c r="A221" i="1"/>
  <c r="A232" i="1"/>
  <c r="A223" i="1"/>
  <c r="A324" i="1"/>
  <c r="A337" i="1"/>
  <c r="A13" i="1"/>
  <c r="A55" i="1"/>
  <c r="A172" i="1"/>
  <c r="A76" i="1"/>
  <c r="A170" i="1"/>
  <c r="A54" i="1"/>
  <c r="A362" i="1"/>
  <c r="A192" i="1"/>
  <c r="A80" i="1"/>
  <c r="A117" i="1"/>
  <c r="A258" i="1"/>
  <c r="A72" i="1"/>
  <c r="A199" i="1"/>
  <c r="A87" i="1"/>
  <c r="A317" i="1"/>
  <c r="A136" i="1"/>
  <c r="A85" i="1"/>
  <c r="A150" i="1"/>
  <c r="A125" i="1"/>
  <c r="A283" i="1"/>
  <c r="A106" i="1"/>
  <c r="A353" i="1"/>
  <c r="A43" i="1"/>
  <c r="A118" i="1"/>
  <c r="A215" i="1"/>
  <c r="A195" i="1"/>
  <c r="A367" i="1"/>
  <c r="A212" i="1"/>
  <c r="A185" i="1"/>
  <c r="A160" i="1"/>
  <c r="A273" i="1"/>
  <c r="A226" i="1"/>
  <c r="A220" i="1"/>
  <c r="A360" i="1"/>
  <c r="A293" i="1"/>
  <c r="A138" i="1"/>
  <c r="A196" i="1"/>
  <c r="A119" i="1"/>
  <c r="A90" i="1"/>
  <c r="A179" i="1"/>
  <c r="A247" i="1"/>
  <c r="A326" i="1"/>
  <c r="A338" i="1"/>
  <c r="A145" i="1"/>
  <c r="A14" i="1"/>
  <c r="A249" i="1"/>
  <c r="A269" i="1"/>
  <c r="A121" i="1"/>
  <c r="A301" i="1"/>
  <c r="A94" i="1"/>
  <c r="A345" i="1"/>
  <c r="A268" i="1"/>
  <c r="A261" i="1"/>
  <c r="A77" i="1"/>
  <c r="A259" i="1"/>
  <c r="A46" i="1"/>
  <c r="A171" i="1"/>
  <c r="A252" i="1"/>
  <c r="A240" i="1"/>
  <c r="A42" i="1"/>
  <c r="A363" i="1"/>
  <c r="A182" i="1"/>
  <c r="A222" i="1"/>
  <c r="A287" i="1"/>
  <c r="A328" i="1"/>
  <c r="A316" i="1"/>
  <c r="A183" i="1"/>
  <c r="A357" i="1"/>
  <c r="A115" i="1"/>
  <c r="A99" i="1"/>
  <c r="A139" i="1"/>
  <c r="A60" i="1"/>
  <c r="A245" i="1"/>
  <c r="A280" i="1"/>
  <c r="A257" i="1"/>
  <c r="A233" i="1"/>
  <c r="A336" i="1"/>
  <c r="A31" i="1"/>
  <c r="A296" i="1"/>
  <c r="A173" i="1"/>
  <c r="A146" i="1"/>
  <c r="A243" i="1"/>
  <c r="A110" i="1"/>
  <c r="A231" i="1"/>
  <c r="A15" i="1"/>
  <c r="A216" i="1"/>
  <c r="A218" i="1"/>
  <c r="A78" i="1"/>
  <c r="A225" i="1"/>
  <c r="A234" i="1"/>
  <c r="A127" i="1"/>
  <c r="A105" i="1"/>
  <c r="A68" i="1"/>
  <c r="A147" i="1"/>
  <c r="A295" i="1"/>
  <c r="A204" i="1"/>
  <c r="A235" i="1"/>
  <c r="A352" i="1"/>
  <c r="A33" i="1"/>
  <c r="A281" i="1"/>
  <c r="A325" i="1"/>
  <c r="A321" i="1"/>
  <c r="A49" i="1"/>
  <c r="A50" i="1"/>
  <c r="A111" i="1"/>
  <c r="A323" i="1"/>
  <c r="A164" i="1"/>
  <c r="A335" i="1"/>
  <c r="A289" i="1"/>
  <c r="A152" i="1"/>
  <c r="A358" i="1"/>
  <c r="A44" i="1"/>
  <c r="A141" i="1"/>
  <c r="A229" i="1"/>
  <c r="A59" i="1"/>
  <c r="A191" i="1"/>
  <c r="A276" i="1"/>
  <c r="A343" i="1"/>
  <c r="A133" i="1"/>
  <c r="A275" i="1"/>
  <c r="A4" i="1"/>
  <c r="A193" i="1"/>
  <c r="A298" i="1"/>
  <c r="A263" i="1"/>
  <c r="A135" i="1"/>
  <c r="A142" i="1"/>
  <c r="A83" i="1"/>
  <c r="A113" i="1"/>
  <c r="A61" i="1"/>
  <c r="A168" i="1"/>
  <c r="A157" i="1"/>
  <c r="A114" i="1"/>
  <c r="A230" i="1"/>
  <c r="A144" i="1"/>
  <c r="A184" i="1"/>
  <c r="A187" i="1"/>
  <c r="A271" i="1"/>
  <c r="A348" i="1"/>
  <c r="A120" i="1"/>
  <c r="A248" i="1"/>
  <c r="A124" i="1"/>
  <c r="A254" i="1"/>
  <c r="A22" i="1"/>
  <c r="A354" i="1"/>
  <c r="A189" i="1"/>
  <c r="A155" i="1"/>
  <c r="A167" i="1"/>
  <c r="A39" i="1"/>
  <c r="A73" i="1"/>
  <c r="A364" i="1"/>
  <c r="A176" i="1"/>
  <c r="A266" i="1"/>
  <c r="A37" i="1"/>
  <c r="A108" i="1"/>
  <c r="A209" i="1"/>
  <c r="A318" i="1"/>
  <c r="A350" i="1"/>
  <c r="A12" i="1"/>
  <c r="A64" i="1"/>
  <c r="A70" i="1"/>
  <c r="A131" i="1"/>
  <c r="A58" i="1"/>
  <c r="A154" i="1"/>
  <c r="A51" i="1"/>
  <c r="A228" i="1"/>
  <c r="A297" i="1"/>
  <c r="A91" i="1"/>
  <c r="A239" i="1"/>
  <c r="A294" i="1"/>
  <c r="A100" i="1"/>
  <c r="A355" i="1"/>
  <c r="A344" i="1"/>
  <c r="A282" i="1"/>
  <c r="A112" i="1"/>
  <c r="A123" i="1"/>
  <c r="A132" i="1"/>
  <c r="A180" i="1"/>
  <c r="A175" i="1"/>
  <c r="A19" i="1"/>
  <c r="A29" i="1"/>
  <c r="A23" i="1"/>
  <c r="A7" i="1"/>
  <c r="A116" i="1"/>
  <c r="A238" i="1"/>
  <c r="A5" i="1"/>
  <c r="A286" i="1"/>
  <c r="A89" i="1"/>
  <c r="A260" i="1"/>
  <c r="A312" i="1"/>
  <c r="A237" i="1"/>
  <c r="A320" i="1"/>
  <c r="A224" i="1"/>
  <c r="A97" i="1"/>
  <c r="A128" i="1"/>
  <c r="A197" i="1"/>
  <c r="A349" i="1"/>
  <c r="A274" i="1"/>
  <c r="A339" i="1"/>
  <c r="A8" i="1"/>
  <c r="A52" i="1"/>
  <c r="A20" i="1"/>
  <c r="A278" i="1"/>
  <c r="A169" i="1"/>
  <c r="A71" i="1"/>
  <c r="A25" i="1"/>
  <c r="A251" i="1"/>
  <c r="A219" i="1"/>
  <c r="A277" i="1"/>
  <c r="A38" i="1"/>
  <c r="A79" i="1"/>
  <c r="A27" i="1"/>
  <c r="A174" i="1"/>
  <c r="A161" i="1"/>
  <c r="A163" i="1"/>
  <c r="A264" i="1"/>
  <c r="A84" i="1"/>
  <c r="A93" i="1"/>
  <c r="A256" i="1"/>
  <c r="A30" i="1"/>
  <c r="A284" i="1"/>
  <c r="A313" i="1"/>
  <c r="A285" i="1"/>
  <c r="A34" i="1"/>
  <c r="A279" i="1"/>
  <c r="A201" i="1"/>
  <c r="A206" i="1"/>
  <c r="A162" i="1"/>
  <c r="A57" i="1"/>
  <c r="A346" i="1"/>
  <c r="A130" i="1"/>
  <c r="A241" i="1"/>
  <c r="A270" i="1"/>
  <c r="A203" i="1"/>
  <c r="A288" i="1"/>
  <c r="A177" i="1"/>
  <c r="A129" i="1"/>
  <c r="A314" i="1"/>
  <c r="A253" i="1"/>
  <c r="A48" i="1"/>
  <c r="A315" i="1"/>
  <c r="A88" i="1"/>
  <c r="A65" i="1"/>
  <c r="A181" i="1"/>
  <c r="H2" i="13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B3" i="10"/>
  <c r="B2" i="10"/>
  <c r="G2" i="13" l="1"/>
  <c r="E14" i="10"/>
  <c r="E15" i="10"/>
  <c r="E4" i="10"/>
  <c r="E16" i="10"/>
  <c r="E5" i="10"/>
  <c r="E17" i="10"/>
  <c r="E6" i="10"/>
  <c r="E18" i="10"/>
  <c r="E7" i="10"/>
  <c r="E19" i="10"/>
  <c r="E20" i="10"/>
  <c r="E9" i="10"/>
  <c r="E21" i="10"/>
  <c r="E10" i="10"/>
  <c r="E22" i="10"/>
  <c r="E11" i="10"/>
  <c r="E23" i="10"/>
  <c r="E12" i="10"/>
  <c r="E24" i="10"/>
  <c r="E25" i="10"/>
  <c r="E2" i="10"/>
  <c r="E8" i="10"/>
  <c r="E3" i="10"/>
  <c r="E13" i="10"/>
  <c r="G209" i="1"/>
  <c r="H209" i="1" s="1"/>
  <c r="G295" i="1"/>
  <c r="H295" i="1" s="1"/>
  <c r="G269" i="1"/>
  <c r="H269" i="1" s="1"/>
  <c r="G63" i="1"/>
  <c r="H63" i="1" s="1"/>
  <c r="G108" i="1"/>
  <c r="H108" i="1" s="1"/>
  <c r="G147" i="1"/>
  <c r="H147" i="1" s="1"/>
  <c r="G249" i="1"/>
  <c r="H249" i="1" s="1"/>
  <c r="G300" i="1"/>
  <c r="H300" i="1" s="1"/>
  <c r="G30" i="1"/>
  <c r="H30" i="1" s="1"/>
  <c r="G241" i="1"/>
  <c r="H241" i="1" s="1"/>
  <c r="G93" i="1"/>
  <c r="H93" i="1" s="1"/>
  <c r="G25" i="1"/>
  <c r="H25" i="1" s="1"/>
  <c r="G97" i="1"/>
  <c r="H97" i="1" s="1"/>
  <c r="G23" i="1"/>
  <c r="H23" i="1" s="1"/>
  <c r="G294" i="1"/>
  <c r="H294" i="1" s="1"/>
  <c r="G350" i="1"/>
  <c r="H350" i="1" s="1"/>
  <c r="G189" i="1"/>
  <c r="H189" i="1" s="1"/>
  <c r="G230" i="1"/>
  <c r="H230" i="1" s="1"/>
  <c r="G4" i="1"/>
  <c r="H4" i="1" s="1"/>
  <c r="G289" i="1"/>
  <c r="H289" i="1" s="1"/>
  <c r="G235" i="1"/>
  <c r="H235" i="1" s="1"/>
  <c r="G15" i="1"/>
  <c r="H15" i="1" s="1"/>
  <c r="G245" i="1"/>
  <c r="H245" i="1" s="1"/>
  <c r="G363" i="1"/>
  <c r="H363" i="1" s="1"/>
  <c r="G301" i="1"/>
  <c r="H301" i="1" s="1"/>
  <c r="G196" i="1"/>
  <c r="H196" i="1" s="1"/>
  <c r="G215" i="1"/>
  <c r="H215" i="1" s="1"/>
  <c r="G199" i="1"/>
  <c r="H199" i="1" s="1"/>
  <c r="G13" i="1"/>
  <c r="H13" i="1" s="1"/>
  <c r="G75" i="1"/>
  <c r="H75" i="1" s="1"/>
  <c r="G242" i="1"/>
  <c r="H242" i="1" s="1"/>
  <c r="G303" i="1"/>
  <c r="H303" i="1" s="1"/>
  <c r="G17" i="1"/>
  <c r="H17" i="1" s="1"/>
  <c r="G107" i="1"/>
  <c r="H107" i="1" s="1"/>
  <c r="G56" i="1"/>
  <c r="H56" i="1" s="1"/>
  <c r="G366" i="1"/>
  <c r="H366" i="1" s="1"/>
  <c r="G211" i="1"/>
  <c r="H211" i="1" s="1"/>
  <c r="G82" i="1"/>
  <c r="H82" i="1" s="1"/>
  <c r="G166" i="1"/>
  <c r="H166" i="1" s="1"/>
  <c r="G270" i="1"/>
  <c r="H270" i="1" s="1"/>
  <c r="G71" i="1"/>
  <c r="H71" i="1" s="1"/>
  <c r="G114" i="1"/>
  <c r="H114" i="1" s="1"/>
  <c r="G335" i="1"/>
  <c r="H335" i="1" s="1"/>
  <c r="G60" i="1"/>
  <c r="H60" i="1" s="1"/>
  <c r="G42" i="1"/>
  <c r="H42" i="1" s="1"/>
  <c r="G72" i="1"/>
  <c r="H72" i="1" s="1"/>
  <c r="G67" i="1"/>
  <c r="H67" i="1" s="1"/>
  <c r="G236" i="1"/>
  <c r="H236" i="1" s="1"/>
  <c r="G299" i="1"/>
  <c r="H299" i="1" s="1"/>
  <c r="G244" i="1"/>
  <c r="H244" i="1" s="1"/>
  <c r="G306" i="1"/>
  <c r="H306" i="1" s="1"/>
  <c r="G313" i="1"/>
  <c r="H313" i="1" s="1"/>
  <c r="G203" i="1"/>
  <c r="H203" i="1" s="1"/>
  <c r="G264" i="1"/>
  <c r="H264" i="1" s="1"/>
  <c r="G169" i="1"/>
  <c r="H169" i="1" s="1"/>
  <c r="G320" i="1"/>
  <c r="H320" i="1" s="1"/>
  <c r="G19" i="1"/>
  <c r="H19" i="1" s="1"/>
  <c r="G91" i="1"/>
  <c r="H91" i="1" s="1"/>
  <c r="G22" i="1"/>
  <c r="H22" i="1" s="1"/>
  <c r="G157" i="1"/>
  <c r="H157" i="1" s="1"/>
  <c r="G133" i="1"/>
  <c r="H133" i="1" s="1"/>
  <c r="G164" i="1"/>
  <c r="H164" i="1" s="1"/>
  <c r="G110" i="1"/>
  <c r="H110" i="1" s="1"/>
  <c r="G139" i="1"/>
  <c r="H139" i="1" s="1"/>
  <c r="G240" i="1"/>
  <c r="H240" i="1" s="1"/>
  <c r="G293" i="1"/>
  <c r="H293" i="1" s="1"/>
  <c r="G43" i="1"/>
  <c r="H43" i="1" s="1"/>
  <c r="G258" i="1"/>
  <c r="H258" i="1" s="1"/>
  <c r="G324" i="1"/>
  <c r="H324" i="1" s="1"/>
  <c r="G101" i="1"/>
  <c r="H101" i="1" s="1"/>
  <c r="G307" i="1"/>
  <c r="H307" i="1" s="1"/>
  <c r="G342" i="1"/>
  <c r="H342" i="1" s="1"/>
  <c r="G9" i="1"/>
  <c r="H9" i="1" s="1"/>
  <c r="G74" i="1"/>
  <c r="H74" i="1" s="1"/>
  <c r="G267" i="1"/>
  <c r="H267" i="1" s="1"/>
  <c r="G143" i="1"/>
  <c r="H143" i="1" s="1"/>
  <c r="G153" i="1"/>
  <c r="H153" i="1" s="1"/>
  <c r="G318" i="1"/>
  <c r="H318" i="1" s="1"/>
  <c r="G121" i="1"/>
  <c r="H121" i="1" s="1"/>
  <c r="G163" i="1"/>
  <c r="H163" i="1" s="1"/>
  <c r="G151" i="1"/>
  <c r="H151" i="1" s="1"/>
  <c r="G29" i="1"/>
  <c r="H29" i="1" s="1"/>
  <c r="G206" i="1"/>
  <c r="H206" i="1" s="1"/>
  <c r="G79" i="1"/>
  <c r="H79" i="1" s="1"/>
  <c r="G286" i="1"/>
  <c r="H286" i="1" s="1"/>
  <c r="G252" i="1"/>
  <c r="H252" i="1" s="1"/>
  <c r="G253" i="1"/>
  <c r="H253" i="1" s="1"/>
  <c r="G339" i="1"/>
  <c r="H339" i="1" s="1"/>
  <c r="G285" i="1"/>
  <c r="H285" i="1" s="1"/>
  <c r="G288" i="1"/>
  <c r="H288" i="1" s="1"/>
  <c r="G278" i="1"/>
  <c r="H278" i="1" s="1"/>
  <c r="G237" i="1"/>
  <c r="H237" i="1" s="1"/>
  <c r="G175" i="1"/>
  <c r="H175" i="1" s="1"/>
  <c r="G297" i="1"/>
  <c r="H297" i="1" s="1"/>
  <c r="G254" i="1"/>
  <c r="H254" i="1" s="1"/>
  <c r="G168" i="1"/>
  <c r="H168" i="1" s="1"/>
  <c r="G343" i="1"/>
  <c r="H343" i="1" s="1"/>
  <c r="G323" i="1"/>
  <c r="H323" i="1" s="1"/>
  <c r="G243" i="1"/>
  <c r="H243" i="1" s="1"/>
  <c r="G99" i="1"/>
  <c r="H99" i="1" s="1"/>
  <c r="G360" i="1"/>
  <c r="H360" i="1" s="1"/>
  <c r="G353" i="1"/>
  <c r="H353" i="1" s="1"/>
  <c r="G117" i="1"/>
  <c r="H117" i="1" s="1"/>
  <c r="G223" i="1"/>
  <c r="H223" i="1" s="1"/>
  <c r="G148" i="1"/>
  <c r="H148" i="1" s="1"/>
  <c r="G262" i="1"/>
  <c r="H262" i="1" s="1"/>
  <c r="G47" i="1"/>
  <c r="H47" i="1" s="1"/>
  <c r="G208" i="1"/>
  <c r="H208" i="1" s="1"/>
  <c r="G109" i="1"/>
  <c r="H109" i="1" s="1"/>
  <c r="G308" i="1"/>
  <c r="H308" i="1" s="1"/>
  <c r="G365" i="1"/>
  <c r="H365" i="1" s="1"/>
  <c r="G113" i="1"/>
  <c r="H113" i="1" s="1"/>
  <c r="G191" i="1"/>
  <c r="H191" i="1" s="1"/>
  <c r="G105" i="1"/>
  <c r="H105" i="1" s="1"/>
  <c r="G357" i="1"/>
  <c r="H357" i="1" s="1"/>
  <c r="G46" i="1"/>
  <c r="H46" i="1" s="1"/>
  <c r="G145" i="1"/>
  <c r="H145" i="1" s="1"/>
  <c r="G226" i="1"/>
  <c r="H226" i="1" s="1"/>
  <c r="G198" i="1"/>
  <c r="H198" i="1" s="1"/>
  <c r="G205" i="1"/>
  <c r="H205" i="1" s="1"/>
  <c r="G250" i="1"/>
  <c r="H250" i="1" s="1"/>
  <c r="G126" i="1"/>
  <c r="H126" i="1" s="1"/>
  <c r="G217" i="1"/>
  <c r="H217" i="1" s="1"/>
  <c r="G95" i="1"/>
  <c r="H95" i="1" s="1"/>
  <c r="G341" i="1"/>
  <c r="H341" i="1" s="1"/>
  <c r="G284" i="1"/>
  <c r="H284" i="1" s="1"/>
  <c r="G84" i="1"/>
  <c r="H84" i="1" s="1"/>
  <c r="G224" i="1"/>
  <c r="H224" i="1" s="1"/>
  <c r="G239" i="1"/>
  <c r="H239" i="1" s="1"/>
  <c r="G354" i="1"/>
  <c r="H354" i="1" s="1"/>
  <c r="G275" i="1"/>
  <c r="H275" i="1" s="1"/>
  <c r="G204" i="1"/>
  <c r="H204" i="1" s="1"/>
  <c r="G231" i="1"/>
  <c r="H231" i="1" s="1"/>
  <c r="G138" i="1"/>
  <c r="H138" i="1" s="1"/>
  <c r="G118" i="1"/>
  <c r="H118" i="1" s="1"/>
  <c r="G337" i="1"/>
  <c r="H337" i="1" s="1"/>
  <c r="G265" i="1"/>
  <c r="H265" i="1" s="1"/>
  <c r="G66" i="1"/>
  <c r="H66" i="1" s="1"/>
  <c r="G40" i="1"/>
  <c r="H40" i="1" s="1"/>
  <c r="G24" i="1"/>
  <c r="H24" i="1" s="1"/>
  <c r="G332" i="1"/>
  <c r="H332" i="1" s="1"/>
  <c r="G162" i="1"/>
  <c r="H162" i="1" s="1"/>
  <c r="G48" i="1"/>
  <c r="H48" i="1" s="1"/>
  <c r="G38" i="1"/>
  <c r="H38" i="1" s="1"/>
  <c r="G274" i="1"/>
  <c r="H274" i="1" s="1"/>
  <c r="G5" i="1"/>
  <c r="H5" i="1" s="1"/>
  <c r="G282" i="1"/>
  <c r="H282" i="1" s="1"/>
  <c r="G131" i="1"/>
  <c r="H131" i="1" s="1"/>
  <c r="G73" i="1"/>
  <c r="H73" i="1" s="1"/>
  <c r="G271" i="1"/>
  <c r="H271" i="1" s="1"/>
  <c r="G135" i="1"/>
  <c r="H135" i="1" s="1"/>
  <c r="G141" i="1"/>
  <c r="H141" i="1" s="1"/>
  <c r="G325" i="1"/>
  <c r="H325" i="1" s="1"/>
  <c r="G225" i="1"/>
  <c r="H225" i="1" s="1"/>
  <c r="G336" i="1"/>
  <c r="H336" i="1" s="1"/>
  <c r="G328" i="1"/>
  <c r="H328" i="1" s="1"/>
  <c r="G261" i="1"/>
  <c r="H261" i="1" s="1"/>
  <c r="G247" i="1"/>
  <c r="H247" i="1" s="1"/>
  <c r="G185" i="1"/>
  <c r="H185" i="1" s="1"/>
  <c r="G85" i="1"/>
  <c r="H85" i="1" s="1"/>
  <c r="G170" i="1"/>
  <c r="H170" i="1" s="1"/>
  <c r="G334" i="1"/>
  <c r="H334" i="1" s="1"/>
  <c r="G359" i="1"/>
  <c r="H359" i="1" s="1"/>
  <c r="G92" i="1"/>
  <c r="H92" i="1" s="1"/>
  <c r="G213" i="1"/>
  <c r="H213" i="1" s="1"/>
  <c r="G327" i="1"/>
  <c r="H327" i="1" s="1"/>
  <c r="G103" i="1"/>
  <c r="H103" i="1" s="1"/>
  <c r="G36" i="1"/>
  <c r="H36" i="1" s="1"/>
  <c r="G331" i="1"/>
  <c r="H331" i="1" s="1"/>
  <c r="G356" i="1"/>
  <c r="H356" i="1" s="1"/>
  <c r="G210" i="1"/>
  <c r="H210" i="1" s="1"/>
  <c r="G34" i="1"/>
  <c r="H34" i="1" s="1"/>
  <c r="G177" i="1"/>
  <c r="H177" i="1" s="1"/>
  <c r="G161" i="1"/>
  <c r="H161" i="1" s="1"/>
  <c r="G20" i="1"/>
  <c r="H20" i="1" s="1"/>
  <c r="G312" i="1"/>
  <c r="H312" i="1" s="1"/>
  <c r="G180" i="1"/>
  <c r="H180" i="1" s="1"/>
  <c r="G228" i="1"/>
  <c r="H228" i="1" s="1"/>
  <c r="G37" i="1"/>
  <c r="H37" i="1" s="1"/>
  <c r="G124" i="1"/>
  <c r="H124" i="1" s="1"/>
  <c r="G61" i="1"/>
  <c r="H61" i="1" s="1"/>
  <c r="G276" i="1"/>
  <c r="H276" i="1" s="1"/>
  <c r="G111" i="1"/>
  <c r="H111" i="1" s="1"/>
  <c r="G68" i="1"/>
  <c r="H68" i="1" s="1"/>
  <c r="G146" i="1"/>
  <c r="H146" i="1" s="1"/>
  <c r="G115" i="1"/>
  <c r="H115" i="1" s="1"/>
  <c r="G171" i="1"/>
  <c r="H171" i="1" s="1"/>
  <c r="G14" i="1"/>
  <c r="H14" i="1" s="1"/>
  <c r="G220" i="1"/>
  <c r="H220" i="1" s="1"/>
  <c r="G106" i="1"/>
  <c r="H106" i="1" s="1"/>
  <c r="G80" i="1"/>
  <c r="H80" i="1" s="1"/>
  <c r="G232" i="1"/>
  <c r="H232" i="1" s="1"/>
  <c r="G69" i="1"/>
  <c r="H69" i="1" s="1"/>
  <c r="G304" i="1"/>
  <c r="H304" i="1" s="1"/>
  <c r="G35" i="1"/>
  <c r="H35" i="1" s="1"/>
  <c r="G227" i="1"/>
  <c r="H227" i="1" s="1"/>
  <c r="G140" i="1"/>
  <c r="H140" i="1" s="1"/>
  <c r="G178" i="1"/>
  <c r="H178" i="1" s="1"/>
  <c r="G6" i="1"/>
  <c r="H6" i="1" s="1"/>
  <c r="G41" i="1"/>
  <c r="H41" i="1" s="1"/>
  <c r="G194" i="1"/>
  <c r="H194" i="1" s="1"/>
  <c r="G57" i="1"/>
  <c r="H57" i="1" s="1"/>
  <c r="G315" i="1"/>
  <c r="H315" i="1" s="1"/>
  <c r="G277" i="1"/>
  <c r="H277" i="1" s="1"/>
  <c r="G349" i="1"/>
  <c r="H349" i="1" s="1"/>
  <c r="G238" i="1"/>
  <c r="H238" i="1" s="1"/>
  <c r="G344" i="1"/>
  <c r="H344" i="1" s="1"/>
  <c r="G70" i="1"/>
  <c r="H70" i="1" s="1"/>
  <c r="G39" i="1"/>
  <c r="H39" i="1" s="1"/>
  <c r="G187" i="1"/>
  <c r="H187" i="1" s="1"/>
  <c r="G263" i="1"/>
  <c r="H263" i="1" s="1"/>
  <c r="G44" i="1"/>
  <c r="H44" i="1" s="1"/>
  <c r="G281" i="1"/>
  <c r="H281" i="1" s="1"/>
  <c r="G78" i="1"/>
  <c r="H78" i="1" s="1"/>
  <c r="G233" i="1"/>
  <c r="H233" i="1" s="1"/>
  <c r="G287" i="1"/>
  <c r="H287" i="1" s="1"/>
  <c r="G268" i="1"/>
  <c r="H268" i="1" s="1"/>
  <c r="G179" i="1"/>
  <c r="H179" i="1" s="1"/>
  <c r="G212" i="1"/>
  <c r="H212" i="1" s="1"/>
  <c r="G136" i="1"/>
  <c r="H136" i="1" s="1"/>
  <c r="G76" i="1"/>
  <c r="H76" i="1" s="1"/>
  <c r="G309" i="1"/>
  <c r="H309" i="1" s="1"/>
  <c r="G188" i="1"/>
  <c r="H188" i="1" s="1"/>
  <c r="G156" i="1"/>
  <c r="H156" i="1" s="1"/>
  <c r="G134" i="1"/>
  <c r="H134" i="1" s="1"/>
  <c r="G305" i="1"/>
  <c r="H305" i="1" s="1"/>
  <c r="G165" i="1"/>
  <c r="H165" i="1" s="1"/>
  <c r="G32" i="1"/>
  <c r="H32" i="1" s="1"/>
  <c r="G290" i="1"/>
  <c r="H290" i="1" s="1"/>
  <c r="G98" i="1"/>
  <c r="H98" i="1" s="1"/>
  <c r="G104" i="1"/>
  <c r="H104" i="1" s="1"/>
  <c r="G279" i="1"/>
  <c r="H279" i="1" s="1"/>
  <c r="G129" i="1"/>
  <c r="H129" i="1" s="1"/>
  <c r="G174" i="1"/>
  <c r="H174" i="1" s="1"/>
  <c r="G52" i="1"/>
  <c r="H52" i="1" s="1"/>
  <c r="G260" i="1"/>
  <c r="H260" i="1" s="1"/>
  <c r="G132" i="1"/>
  <c r="H132" i="1" s="1"/>
  <c r="G51" i="1"/>
  <c r="H51" i="1" s="1"/>
  <c r="G266" i="1"/>
  <c r="H266" i="1" s="1"/>
  <c r="G248" i="1"/>
  <c r="H248" i="1" s="1"/>
  <c r="G50" i="1"/>
  <c r="H50" i="1" s="1"/>
  <c r="G173" i="1"/>
  <c r="H173" i="1" s="1"/>
  <c r="G283" i="1"/>
  <c r="H283" i="1" s="1"/>
  <c r="G192" i="1"/>
  <c r="H192" i="1" s="1"/>
  <c r="G221" i="1"/>
  <c r="H221" i="1" s="1"/>
  <c r="G207" i="1"/>
  <c r="H207" i="1" s="1"/>
  <c r="G10" i="1"/>
  <c r="H10" i="1" s="1"/>
  <c r="G181" i="1"/>
  <c r="H181" i="1" s="1"/>
  <c r="G346" i="1"/>
  <c r="H346" i="1" s="1"/>
  <c r="G88" i="1"/>
  <c r="H88" i="1" s="1"/>
  <c r="G219" i="1"/>
  <c r="H219" i="1" s="1"/>
  <c r="G197" i="1"/>
  <c r="H197" i="1" s="1"/>
  <c r="G116" i="1"/>
  <c r="H116" i="1" s="1"/>
  <c r="G355" i="1"/>
  <c r="H355" i="1" s="1"/>
  <c r="G64" i="1"/>
  <c r="H64" i="1" s="1"/>
  <c r="G167" i="1"/>
  <c r="H167" i="1" s="1"/>
  <c r="G184" i="1"/>
  <c r="H184" i="1" s="1"/>
  <c r="G298" i="1"/>
  <c r="H298" i="1" s="1"/>
  <c r="G358" i="1"/>
  <c r="H358" i="1" s="1"/>
  <c r="G33" i="1"/>
  <c r="H33" i="1" s="1"/>
  <c r="G218" i="1"/>
  <c r="H218" i="1" s="1"/>
  <c r="G257" i="1"/>
  <c r="H257" i="1" s="1"/>
  <c r="G222" i="1"/>
  <c r="H222" i="1" s="1"/>
  <c r="G345" i="1"/>
  <c r="H345" i="1" s="1"/>
  <c r="G90" i="1"/>
  <c r="H90" i="1" s="1"/>
  <c r="G367" i="1"/>
  <c r="H367" i="1" s="1"/>
  <c r="G317" i="1"/>
  <c r="H317" i="1" s="1"/>
  <c r="G172" i="1"/>
  <c r="H172" i="1" s="1"/>
  <c r="G214" i="1"/>
  <c r="H214" i="1" s="1"/>
  <c r="G310" i="1"/>
  <c r="H310" i="1" s="1"/>
  <c r="G45" i="1"/>
  <c r="H45" i="1" s="1"/>
  <c r="G311" i="1"/>
  <c r="H311" i="1" s="1"/>
  <c r="G333" i="1"/>
  <c r="H333" i="1" s="1"/>
  <c r="G137" i="1"/>
  <c r="H137" i="1" s="1"/>
  <c r="G202" i="1"/>
  <c r="H202" i="1" s="1"/>
  <c r="G18" i="1"/>
  <c r="H18" i="1" s="1"/>
  <c r="G16" i="1"/>
  <c r="H16" i="1" s="1"/>
  <c r="G53" i="1"/>
  <c r="H53" i="1" s="1"/>
  <c r="G201" i="1"/>
  <c r="H201" i="1" s="1"/>
  <c r="G314" i="1"/>
  <c r="H314" i="1" s="1"/>
  <c r="G27" i="1"/>
  <c r="H27" i="1" s="1"/>
  <c r="G8" i="1"/>
  <c r="H8" i="1" s="1"/>
  <c r="G89" i="1"/>
  <c r="H89" i="1" s="1"/>
  <c r="G123" i="1"/>
  <c r="H123" i="1" s="1"/>
  <c r="G154" i="1"/>
  <c r="H154" i="1" s="1"/>
  <c r="G176" i="1"/>
  <c r="H176" i="1" s="1"/>
  <c r="G120" i="1"/>
  <c r="H120" i="1" s="1"/>
  <c r="G83" i="1"/>
  <c r="H83" i="1" s="1"/>
  <c r="G59" i="1"/>
  <c r="H59" i="1" s="1"/>
  <c r="G49" i="1"/>
  <c r="H49" i="1" s="1"/>
  <c r="G127" i="1"/>
  <c r="H127" i="1" s="1"/>
  <c r="G296" i="1"/>
  <c r="H296" i="1" s="1"/>
  <c r="G183" i="1"/>
  <c r="H183" i="1" s="1"/>
  <c r="G259" i="1"/>
  <c r="H259" i="1" s="1"/>
  <c r="G338" i="1"/>
  <c r="H338" i="1" s="1"/>
  <c r="G273" i="1"/>
  <c r="H273" i="1" s="1"/>
  <c r="G125" i="1"/>
  <c r="H125" i="1" s="1"/>
  <c r="G362" i="1"/>
  <c r="H362" i="1" s="1"/>
  <c r="G81" i="1"/>
  <c r="H81" i="1" s="1"/>
  <c r="G322" i="1"/>
  <c r="H322" i="1" s="1"/>
  <c r="G329" i="1"/>
  <c r="H329" i="1" s="1"/>
  <c r="G292" i="1"/>
  <c r="H292" i="1" s="1"/>
  <c r="G159" i="1"/>
  <c r="H159" i="1" s="1"/>
  <c r="G26" i="1"/>
  <c r="H26" i="1" s="1"/>
  <c r="G102" i="1"/>
  <c r="H102" i="1" s="1"/>
  <c r="G122" i="1"/>
  <c r="H122" i="1" s="1"/>
  <c r="G21" i="1"/>
  <c r="H21" i="1" s="1"/>
  <c r="G361" i="1"/>
  <c r="H361" i="1" s="1"/>
  <c r="G256" i="1"/>
  <c r="H256" i="1" s="1"/>
  <c r="G130" i="1"/>
  <c r="H130" i="1" s="1"/>
  <c r="G65" i="1"/>
  <c r="H65" i="1" s="1"/>
  <c r="G251" i="1"/>
  <c r="H251" i="1" s="1"/>
  <c r="G128" i="1"/>
  <c r="H128" i="1" s="1"/>
  <c r="G7" i="1"/>
  <c r="H7" i="1" s="1"/>
  <c r="G100" i="1"/>
  <c r="H100" i="1" s="1"/>
  <c r="G12" i="1"/>
  <c r="H12" i="1" s="1"/>
  <c r="G155" i="1"/>
  <c r="H155" i="1" s="1"/>
  <c r="G144" i="1"/>
  <c r="H144" i="1" s="1"/>
  <c r="G193" i="1"/>
  <c r="H193" i="1" s="1"/>
  <c r="G152" i="1"/>
  <c r="H152" i="1" s="1"/>
  <c r="G352" i="1"/>
  <c r="H352" i="1" s="1"/>
  <c r="G216" i="1"/>
  <c r="H216" i="1" s="1"/>
  <c r="G280" i="1"/>
  <c r="H280" i="1" s="1"/>
  <c r="G182" i="1"/>
  <c r="H182" i="1" s="1"/>
  <c r="G94" i="1"/>
  <c r="H94" i="1" s="1"/>
  <c r="G119" i="1"/>
  <c r="H119" i="1" s="1"/>
  <c r="G195" i="1"/>
  <c r="H195" i="1" s="1"/>
  <c r="G87" i="1"/>
  <c r="H87" i="1" s="1"/>
  <c r="G55" i="1"/>
  <c r="H55" i="1" s="1"/>
  <c r="G186" i="1"/>
  <c r="H186" i="1" s="1"/>
  <c r="G330" i="1"/>
  <c r="H330" i="1" s="1"/>
  <c r="G96" i="1"/>
  <c r="H96" i="1" s="1"/>
  <c r="G291" i="1"/>
  <c r="H291" i="1" s="1"/>
  <c r="G340" i="1"/>
  <c r="H340" i="1" s="1"/>
  <c r="G347" i="1"/>
  <c r="H347" i="1" s="1"/>
  <c r="G319" i="1"/>
  <c r="H319" i="1" s="1"/>
  <c r="G11" i="1"/>
  <c r="H11" i="1" s="1"/>
  <c r="G86" i="1"/>
  <c r="H86" i="1" s="1"/>
  <c r="G149" i="1"/>
  <c r="H149" i="1" s="1"/>
  <c r="G112" i="1"/>
  <c r="H112" i="1" s="1"/>
  <c r="G58" i="1"/>
  <c r="H58" i="1" s="1"/>
  <c r="G364" i="1"/>
  <c r="H364" i="1" s="1"/>
  <c r="G348" i="1"/>
  <c r="H348" i="1" s="1"/>
  <c r="G142" i="1"/>
  <c r="H142" i="1" s="1"/>
  <c r="G229" i="1"/>
  <c r="H229" i="1" s="1"/>
  <c r="G321" i="1"/>
  <c r="H321" i="1" s="1"/>
  <c r="G234" i="1"/>
  <c r="H234" i="1" s="1"/>
  <c r="G31" i="1"/>
  <c r="H31" i="1" s="1"/>
  <c r="G316" i="1"/>
  <c r="H316" i="1" s="1"/>
  <c r="G77" i="1"/>
  <c r="H77" i="1" s="1"/>
  <c r="G326" i="1"/>
  <c r="H326" i="1" s="1"/>
  <c r="G160" i="1"/>
  <c r="H160" i="1" s="1"/>
  <c r="G150" i="1"/>
  <c r="H150" i="1" s="1"/>
  <c r="G54" i="1"/>
  <c r="H54" i="1" s="1"/>
  <c r="G246" i="1"/>
  <c r="H246" i="1" s="1"/>
  <c r="G200" i="1"/>
  <c r="H200" i="1" s="1"/>
  <c r="G190" i="1"/>
  <c r="H190" i="1" s="1"/>
  <c r="G302" i="1"/>
  <c r="H302" i="1" s="1"/>
  <c r="G28" i="1"/>
  <c r="H28" i="1" s="1"/>
  <c r="G272" i="1"/>
  <c r="H272" i="1" s="1"/>
  <c r="G62" i="1"/>
  <c r="H62" i="1" s="1"/>
  <c r="G351" i="1"/>
  <c r="H351" i="1" s="1"/>
  <c r="G255" i="1"/>
  <c r="H255" i="1" s="1"/>
  <c r="G158" i="1"/>
  <c r="H158" i="1" s="1"/>
  <c r="F2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47F4AF-ACBF-4FE1-B890-84D593EA41E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F3035C-6AAB-441C-A2BF-96511BC71AF8}" name="WorksheetConnection_MIS_Report_Final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MIS_Report_Final.xlsxTable2"/>
        </x15:connection>
      </ext>
    </extLst>
  </connection>
</connections>
</file>

<file path=xl/sharedStrings.xml><?xml version="1.0" encoding="utf-8"?>
<sst xmlns="http://schemas.openxmlformats.org/spreadsheetml/2006/main" count="166" uniqueCount="89">
  <si>
    <t>Department</t>
  </si>
  <si>
    <t>Sales</t>
  </si>
  <si>
    <t>Jan</t>
  </si>
  <si>
    <t>HR</t>
  </si>
  <si>
    <t>Feb</t>
  </si>
  <si>
    <t>Finance</t>
  </si>
  <si>
    <t>Mar</t>
  </si>
  <si>
    <t>Apr</t>
  </si>
  <si>
    <t>May</t>
  </si>
  <si>
    <t>Date</t>
  </si>
  <si>
    <t>Expense Category</t>
  </si>
  <si>
    <t>Vendor</t>
  </si>
  <si>
    <t>Amount</t>
  </si>
  <si>
    <t>GST%</t>
  </si>
  <si>
    <t>Total Expenses</t>
  </si>
  <si>
    <t>Cost Center</t>
  </si>
  <si>
    <t>GST Amount</t>
  </si>
  <si>
    <t>XYZ COMPANY PVT. LTD.</t>
  </si>
  <si>
    <t>MIS SUMMARY</t>
  </si>
  <si>
    <t>Row Labels</t>
  </si>
  <si>
    <t>(blank)</t>
  </si>
  <si>
    <t>Grand Total</t>
  </si>
  <si>
    <t>Column Labels</t>
  </si>
  <si>
    <t>Sum of Total Expenses</t>
  </si>
  <si>
    <t>2023</t>
  </si>
  <si>
    <t>2024</t>
  </si>
  <si>
    <t>Qtr1</t>
  </si>
  <si>
    <t>Qtr2</t>
  </si>
  <si>
    <t>Qtr3</t>
  </si>
  <si>
    <t>Qtr4</t>
  </si>
  <si>
    <t>Jun</t>
  </si>
  <si>
    <t>Jul</t>
  </si>
  <si>
    <t>Aug</t>
  </si>
  <si>
    <t>Sep</t>
  </si>
  <si>
    <t>Oct</t>
  </si>
  <si>
    <t>Nov</t>
  </si>
  <si>
    <t>Dec</t>
  </si>
  <si>
    <t>Admin</t>
  </si>
  <si>
    <t>IT</t>
  </si>
  <si>
    <t>Marketing</t>
  </si>
  <si>
    <t>Operations</t>
  </si>
  <si>
    <t>Procurement</t>
  </si>
  <si>
    <t>MIS-1</t>
  </si>
  <si>
    <t>MIS -2</t>
  </si>
  <si>
    <t>MIS-3</t>
  </si>
  <si>
    <t>Monthly Expenses trend</t>
  </si>
  <si>
    <t>Total Expenses by Department</t>
  </si>
  <si>
    <t>Category wise Expenses</t>
  </si>
  <si>
    <t>Maintenance</t>
  </si>
  <si>
    <t>Marketing Spend</t>
  </si>
  <si>
    <t>Miscellaneous</t>
  </si>
  <si>
    <t>Office Supplies</t>
  </si>
  <si>
    <t>Salaries</t>
  </si>
  <si>
    <t>Software</t>
  </si>
  <si>
    <t>Training</t>
  </si>
  <si>
    <t>Transportation</t>
  </si>
  <si>
    <t>Travel</t>
  </si>
  <si>
    <t>Utilities</t>
  </si>
  <si>
    <t>MIS-4</t>
  </si>
  <si>
    <t>GST paid Summary</t>
  </si>
  <si>
    <t>Sum of GST Amount</t>
  </si>
  <si>
    <t>MIS-5</t>
  </si>
  <si>
    <t>Vendor Wise Spend</t>
  </si>
  <si>
    <t>Alpha Logistics</t>
  </si>
  <si>
    <t>Bright Solutions</t>
  </si>
  <si>
    <t>Global Traders</t>
  </si>
  <si>
    <t>Infoserve Pvt Ltd</t>
  </si>
  <si>
    <t>QuickFix Services</t>
  </si>
  <si>
    <t>Rapid Transport</t>
  </si>
  <si>
    <t>Skyline Marketing</t>
  </si>
  <si>
    <t>Star Technologies</t>
  </si>
  <si>
    <t>Universal Systems</t>
  </si>
  <si>
    <t>Urban Office Mart</t>
  </si>
  <si>
    <t>MONTH</t>
  </si>
  <si>
    <t>ACTUAL EXPENSES</t>
  </si>
  <si>
    <t>AVG SPEEND</t>
  </si>
  <si>
    <t>GROWTH %</t>
  </si>
  <si>
    <t>NEXT YEAR BUDGET</t>
  </si>
  <si>
    <t># I have to use Actual Expenses and AVG speed in Pivot table which is mentioned in sheet</t>
  </si>
  <si>
    <t>ACTUAL</t>
  </si>
  <si>
    <t>FORECAST GROWTH</t>
  </si>
  <si>
    <t>FORECAST MOVING AVG</t>
  </si>
  <si>
    <t>ASSUMPTION</t>
  </si>
  <si>
    <t>I have to calculate Raw data through Excel function</t>
  </si>
  <si>
    <t>I do not use any data through any website</t>
  </si>
  <si>
    <t>I have to use Pivot table as well</t>
  </si>
  <si>
    <t>I have to create Dashbord through Power bi</t>
  </si>
  <si>
    <t>Average of Total Expenses</t>
  </si>
  <si>
    <t>FORECAST 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</si>
</sst>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6" fillId="3" borderId="0" xfId="0" applyFont="1" applyFill="1" applyAlignment="1">
      <alignment horizontal="center"/>
    </xf>
    <xf numFmtId="0" fontId="0" fillId="3" borderId="0" xfId="0" applyFill="1"/>
    <xf numFmtId="0" fontId="4" fillId="0" borderId="0" xfId="0" applyFont="1"/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9" fontId="2" fillId="0" borderId="0" xfId="1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MISHRA" refreshedDate="46000.705948495372" createdVersion="8" refreshedVersion="8" minRefreshableVersion="3" recordCount="365" xr:uid="{BA34F2E9-0671-4220-A716-8877C4409A8B}">
  <cacheSource type="worksheet">
    <worksheetSource name="Table2"/>
  </cacheSource>
  <cacheFields count="12">
    <cacheField name="Date" numFmtId="0">
      <sharedItems containsNonDate="0" containsDate="1" containsString="0" containsBlank="1" minDate="2023-01-02T00:00:00" maxDate="2024-12-30T00:00:00" count="285">
        <d v="2023-08-15T00:00:00"/>
        <d v="2023-02-21T00:00:00"/>
        <d v="2024-10-18T00:00:00"/>
        <d v="2023-12-09T00:00:00"/>
        <d v="2024-10-08T00:00:00"/>
        <d v="2023-12-31T00:00:00"/>
        <d v="2024-02-03T00:00:00"/>
        <d v="2024-10-21T00:00:00"/>
        <d v="2024-05-23T00:00:00"/>
        <d v="2024-10-22T00:00:00"/>
        <d v="2023-07-12T00:00:00"/>
        <d v="2023-10-20T00:00:00"/>
        <d v="2024-03-11T00:00:00"/>
        <d v="2023-06-05T00:00:00"/>
        <d v="2024-03-05T00:00:00"/>
        <d v="2024-02-14T00:00:00"/>
        <d v="2023-12-22T00:00:00"/>
        <d v="2024-08-29T00:00:00"/>
        <d v="2023-12-10T00:00:00"/>
        <d v="2023-03-01T00:00:00"/>
        <d v="2024-12-05T00:00:00"/>
        <d v="2024-07-24T00:00:00"/>
        <d v="2024-03-22T00:00:00"/>
        <d v="2024-11-15T00:00:00"/>
        <d v="2024-10-23T00:00:00"/>
        <d v="2023-05-21T00:00:00"/>
        <d v="2024-03-28T00:00:00"/>
        <d v="2024-12-15T00:00:00"/>
        <d v="2023-02-12T00:00:00"/>
        <d v="2023-09-16T00:00:00"/>
        <d v="2024-09-20T00:00:00"/>
        <d v="2024-05-13T00:00:00"/>
        <d v="2024-10-19T00:00:00"/>
        <d v="2023-11-23T00:00:00"/>
        <d v="2023-12-16T00:00:00"/>
        <d v="2024-05-15T00:00:00"/>
        <d v="2023-02-23T00:00:00"/>
        <d v="2024-03-20T00:00:00"/>
        <d v="2024-08-03T00:00:00"/>
        <d v="2023-07-26T00:00:00"/>
        <d v="2024-10-15T00:00:00"/>
        <d v="2024-01-23T00:00:00"/>
        <d v="2024-12-23T00:00:00"/>
        <d v="2024-11-20T00:00:00"/>
        <d v="2023-02-16T00:00:00"/>
        <d v="2024-03-29T00:00:00"/>
        <d v="2023-01-26T00:00:00"/>
        <d v="2023-10-15T00:00:00"/>
        <d v="2024-07-31T00:00:00"/>
        <d v="2023-06-16T00:00:00"/>
        <d v="2024-04-03T00:00:00"/>
        <d v="2024-07-16T00:00:00"/>
        <d v="2023-09-22T00:00:00"/>
        <d v="2023-10-29T00:00:00"/>
        <d v="2024-07-25T00:00:00"/>
        <d v="2023-06-03T00:00:00"/>
        <d v="2023-10-17T00:00:00"/>
        <d v="2023-08-18T00:00:00"/>
        <d v="2024-02-06T00:00:00"/>
        <d v="2024-10-03T00:00:00"/>
        <d v="2023-11-09T00:00:00"/>
        <d v="2023-07-07T00:00:00"/>
        <d v="2023-12-23T00:00:00"/>
        <d v="2024-12-11T00:00:00"/>
        <d v="2024-09-01T00:00:00"/>
        <d v="2023-03-10T00:00:00"/>
        <d v="2024-09-21T00:00:00"/>
        <d v="2023-06-08T00:00:00"/>
        <d v="2023-10-05T00:00:00"/>
        <d v="2023-11-30T00:00:00"/>
        <d v="2024-10-07T00:00:00"/>
        <d v="2023-03-12T00:00:00"/>
        <d v="2023-06-27T00:00:00"/>
        <d v="2024-05-26T00:00:00"/>
        <d v="2023-05-16T00:00:00"/>
        <d v="2024-11-06T00:00:00"/>
        <d v="2023-06-14T00:00:00"/>
        <d v="2024-09-23T00:00:00"/>
        <d v="2023-07-27T00:00:00"/>
        <d v="2024-08-26T00:00:00"/>
        <d v="2024-01-26T00:00:00"/>
        <d v="2024-01-15T00:00:00"/>
        <d v="2024-11-07T00:00:00"/>
        <d v="2024-06-07T00:00:00"/>
        <d v="2023-02-26T00:00:00"/>
        <d v="2023-10-13T00:00:00"/>
        <d v="2024-03-21T00:00:00"/>
        <d v="2023-06-17T00:00:00"/>
        <d v="2024-02-18T00:00:00"/>
        <d v="2024-01-22T00:00:00"/>
        <d v="2024-06-18T00:00:00"/>
        <d v="2024-02-23T00:00:00"/>
        <d v="2024-04-16T00:00:00"/>
        <d v="2023-06-29T00:00:00"/>
        <d v="2023-04-15T00:00:00"/>
        <d v="2023-07-05T00:00:00"/>
        <d v="2024-07-04T00:00:00"/>
        <d v="2024-05-07T00:00:00"/>
        <d v="2024-07-12T00:00:00"/>
        <d v="2024-02-26T00:00:00"/>
        <d v="2023-10-18T00:00:00"/>
        <d v="2024-08-04T00:00:00"/>
        <d v="2024-02-10T00:00:00"/>
        <d v="2023-01-16T00:00:00"/>
        <d v="2023-04-11T00:00:00"/>
        <d v="2024-09-30T00:00:00"/>
        <d v="2023-02-02T00:00:00"/>
        <d v="2023-01-11T00:00:00"/>
        <d v="2023-12-04T00:00:00"/>
        <d v="2023-01-25T00:00:00"/>
        <d v="2023-08-17T00:00:00"/>
        <d v="2023-03-27T00:00:00"/>
        <d v="2023-10-14T00:00:00"/>
        <d v="2024-01-12T00:00:00"/>
        <d v="2023-07-25T00:00:00"/>
        <d v="2023-07-14T00:00:00"/>
        <d v="2023-05-06T00:00:00"/>
        <d v="2024-07-09T00:00:00"/>
        <d v="2024-12-03T00:00:00"/>
        <d v="2024-11-10T00:00:00"/>
        <d v="2023-11-18T00:00:00"/>
        <d v="2024-04-02T00:00:00"/>
        <d v="2024-08-24T00:00:00"/>
        <d v="2023-10-11T00:00:00"/>
        <d v="2024-06-24T00:00:00"/>
        <d v="2023-12-02T00:00:00"/>
        <d v="2023-09-28T00:00:00"/>
        <d v="2024-04-13T00:00:00"/>
        <d v="2023-04-18T00:00:00"/>
        <d v="2024-10-04T00:00:00"/>
        <d v="2024-11-05T00:00:00"/>
        <d v="2024-11-08T00:00:00"/>
        <d v="2024-05-24T00:00:00"/>
        <d v="2023-11-13T00:00:00"/>
        <d v="2024-02-21T00:00:00"/>
        <d v="2023-05-18T00:00:00"/>
        <d v="2024-03-31T00:00:00"/>
        <d v="2024-03-04T00:00:00"/>
        <d v="2023-10-22T00:00:00"/>
        <d v="2024-08-27T00:00:00"/>
        <d v="2023-07-20T00:00:00"/>
        <d v="2024-09-17T00:00:00"/>
        <d v="2023-03-18T00:00:00"/>
        <d v="2024-04-21T00:00:00"/>
        <d v="2024-01-29T00:00:00"/>
        <d v="2024-06-27T00:00:00"/>
        <d v="2024-02-27T00:00:00"/>
        <d v="2023-03-06T00:00:00"/>
        <d v="2024-05-28T00:00:00"/>
        <d v="2024-07-23T00:00:00"/>
        <d v="2023-04-28T00:00:00"/>
        <d v="2024-03-16T00:00:00"/>
        <d v="2024-09-22T00:00:00"/>
        <d v="2024-07-08T00:00:00"/>
        <d v="2023-12-11T00:00:00"/>
        <d v="2024-05-25T00:00:00"/>
        <d v="2023-09-07T00:00:00"/>
        <d v="2024-07-17T00:00:00"/>
        <d v="2023-08-10T00:00:00"/>
        <d v="2023-08-16T00:00:00"/>
        <d v="2023-04-08T00:00:00"/>
        <d v="2023-08-21T00:00:00"/>
        <d v="2023-10-23T00:00:00"/>
        <d v="2024-04-07T00:00:00"/>
        <d v="2023-05-14T00:00:00"/>
        <d v="2023-12-05T00:00:00"/>
        <d v="2023-05-03T00:00:00"/>
        <d v="2023-12-01T00:00:00"/>
        <d v="2023-05-05T00:00:00"/>
        <d v="2023-06-20T00:00:00"/>
        <d v="2023-07-03T00:00:00"/>
        <d v="2024-01-16T00:00:00"/>
        <d v="2023-04-06T00:00:00"/>
        <d v="2024-12-27T00:00:00"/>
        <d v="2023-08-07T00:00:00"/>
        <d v="2023-09-05T00:00:00"/>
        <d v="2023-09-17T00:00:00"/>
        <d v="2023-02-18T00:00:00"/>
        <d v="2024-06-19T00:00:00"/>
        <d v="2024-12-06T00:00:00"/>
        <d v="2024-06-15T00:00:00"/>
        <d v="2024-01-01T00:00:00"/>
        <d v="2023-01-02T00:00:00"/>
        <d v="2023-03-16T00:00:00"/>
        <d v="2023-08-27T00:00:00"/>
        <d v="2023-08-11T00:00:00"/>
        <d v="2023-08-28T00:00:00"/>
        <d v="2023-10-28T00:00:00"/>
        <d v="2023-06-30T00:00:00"/>
        <d v="2024-04-11T00:00:00"/>
        <d v="2024-03-08T00:00:00"/>
        <d v="2024-10-13T00:00:00"/>
        <d v="2023-05-11T00:00:00"/>
        <d v="2024-12-10T00:00:00"/>
        <d v="2024-05-03T00:00:00"/>
        <d v="2023-07-31T00:00:00"/>
        <d v="2023-10-07T00:00:00"/>
        <d v="2023-11-10T00:00:00"/>
        <d v="2023-10-24T00:00:00"/>
        <d v="2023-04-24T00:00:00"/>
        <d v="2024-07-02T00:00:00"/>
        <d v="2024-10-06T00:00:00"/>
        <d v="2023-06-22T00:00:00"/>
        <d v="2024-12-29T00:00:00"/>
        <d v="2023-01-05T00:00:00"/>
        <d v="2024-12-25T00:00:00"/>
        <d v="2024-01-20T00:00:00"/>
        <d v="2023-05-07T00:00:00"/>
        <d v="2024-05-16T00:00:00"/>
        <d v="2024-12-18T00:00:00"/>
        <d v="2024-08-31T00:00:00"/>
        <d v="2023-06-24T00:00:00"/>
        <d v="2023-03-21T00:00:00"/>
        <d v="2024-01-08T00:00:00"/>
        <d v="2023-03-31T00:00:00"/>
        <d v="2024-05-22T00:00:00"/>
        <d v="2023-02-27T00:00:00"/>
        <d v="2023-05-22T00:00:00"/>
        <d v="2023-05-20T00:00:00"/>
        <d v="2024-04-09T00:00:00"/>
        <d v="2024-02-11T00:00:00"/>
        <d v="2024-04-22T00:00:00"/>
        <d v="2024-09-04T00:00:00"/>
        <d v="2023-01-18T00:00:00"/>
        <d v="2024-05-06T00:00:00"/>
        <d v="2023-08-26T00:00:00"/>
        <d v="2024-11-18T00:00:00"/>
        <d v="2023-01-20T00:00:00"/>
        <d v="2024-12-21T00:00:00"/>
        <d v="2024-12-20T00:00:00"/>
        <d v="2024-05-09T00:00:00"/>
        <d v="2023-04-23T00:00:00"/>
        <d v="2023-05-23T00:00:00"/>
        <d v="2024-06-02T00:00:00"/>
        <d v="2023-02-15T00:00:00"/>
        <d v="2024-10-17T00:00:00"/>
        <d v="2024-08-01T00:00:00"/>
        <d v="2023-03-07T00:00:00"/>
        <d v="2024-08-21T00:00:00"/>
        <d v="2023-07-02T00:00:00"/>
        <d v="2023-09-23T00:00:00"/>
        <d v="2024-10-12T00:00:00"/>
        <d v="2023-01-30T00:00:00"/>
        <d v="2024-09-12T00:00:00"/>
        <d v="2023-02-22T00:00:00"/>
        <d v="2023-06-04T00:00:00"/>
        <d v="2023-10-26T00:00:00"/>
        <d v="2023-04-21T00:00:00"/>
        <d v="2024-09-27T00:00:00"/>
        <d v="2024-03-23T00:00:00"/>
        <d v="2024-09-06T00:00:00"/>
        <d v="2024-06-04T00:00:00"/>
        <d v="2024-11-23T00:00:00"/>
        <d v="2023-12-30T00:00:00"/>
        <d v="2024-08-15T00:00:00"/>
        <d v="2023-09-18T00:00:00"/>
        <d v="2024-12-08T00:00:00"/>
        <d v="2023-08-25T00:00:00"/>
        <d v="2023-09-27T00:00:00"/>
        <d v="2023-07-13T00:00:00"/>
        <d v="2024-07-20T00:00:00"/>
        <d v="2023-05-25T00:00:00"/>
        <d v="2024-01-17T00:00:00"/>
        <d v="2023-07-11T00:00:00"/>
        <d v="2023-06-06T00:00:00"/>
        <d v="2023-03-29T00:00:00"/>
        <d v="2024-03-19T00:00:00"/>
        <d v="2024-12-07T00:00:00"/>
        <d v="2024-06-08T00:00:00"/>
        <d v="2024-11-16T00:00:00"/>
        <d v="2023-06-10T00:00:00"/>
        <d v="2023-12-08T00:00:00"/>
        <d v="2023-08-05T00:00:00"/>
        <d v="2023-12-06T00:00:00"/>
        <d v="2024-06-01T00:00:00"/>
        <d v="2023-09-12T00:00:00"/>
        <d v="2024-01-24T00:00:00"/>
        <d v="2024-10-10T00:00:00"/>
        <d v="2024-08-19T00:00:00"/>
        <d v="2023-08-02T00:00:00"/>
        <d v="2023-02-04T00:00:00"/>
        <d v="2024-02-22T00:00:00"/>
        <d v="2023-11-27T00:00:00"/>
        <d v="2023-07-04T00:00:00"/>
        <m/>
      </sharedItems>
      <fieldGroup par="11"/>
    </cacheField>
    <cacheField name="Department" numFmtId="0">
      <sharedItems containsBlank="1" count="9">
        <s v="Marketing"/>
        <s v="Finance"/>
        <s v="HR"/>
        <s v="Operations"/>
        <s v="Admin"/>
        <s v="Sales"/>
        <s v="IT"/>
        <s v="Procurement"/>
        <m/>
      </sharedItems>
    </cacheField>
    <cacheField name="Expense Category" numFmtId="0">
      <sharedItems containsBlank="1" count="11">
        <s v="Salaries"/>
        <s v="Maintenance"/>
        <s v="Marketing Spend"/>
        <s v="Travel"/>
        <s v="Office Supplies"/>
        <s v="Miscellaneous"/>
        <s v="Utilities"/>
        <s v="Transportation"/>
        <s v="Software"/>
        <s v="Training"/>
        <m/>
      </sharedItems>
    </cacheField>
    <cacheField name="Vendor" numFmtId="0">
      <sharedItems containsBlank="1" count="11">
        <s v="Star Technologies"/>
        <s v="Bright Solutions"/>
        <s v="Alpha Logistics"/>
        <s v="QuickFix Services"/>
        <s v="Skyline Marketing"/>
        <s v="Universal Systems"/>
        <s v="Urban Office Mart"/>
        <s v="Global Traders"/>
        <s v="Rapid Transport"/>
        <s v="Infoserve Pvt Ltd"/>
        <m/>
      </sharedItems>
    </cacheField>
    <cacheField name="Amount" numFmtId="0">
      <sharedItems containsString="0" containsBlank="1" containsNumber="1" containsInteger="1" minValue="561" maxValue="49610"/>
    </cacheField>
    <cacheField name="GST%" numFmtId="0">
      <sharedItems containsString="0" containsBlank="1" containsNumber="1" containsInteger="1" minValue="5" maxValue="18" count="4">
        <n v="5"/>
        <n v="12"/>
        <n v="18"/>
        <m/>
      </sharedItems>
    </cacheField>
    <cacheField name="GST Amount" numFmtId="0">
      <sharedItems containsString="0" containsBlank="1" containsNumber="1" minValue="28.05" maxValue="8921.16"/>
    </cacheField>
    <cacheField name="Total Expenses" numFmtId="0">
      <sharedItems containsString="0" containsBlank="1" containsNumber="1" minValue="589.04999999999995" maxValue="58483.16"/>
    </cacheField>
    <cacheField name="Cost Center" numFmtId="0">
      <sharedItems containsBlank="1"/>
    </cacheField>
    <cacheField name="Months (Date)" numFmtId="0" databaseField="0">
      <fieldGroup base="0">
        <rangePr groupBy="months" startDate="2023-01-02T00:00:00" endDate="2024-12-30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24"/>
        </groupItems>
      </fieldGroup>
    </cacheField>
    <cacheField name="Quarters (Date)" numFmtId="0" databaseField="0">
      <fieldGroup base="0">
        <rangePr groupBy="quarters" startDate="2023-01-02T00:00:00" endDate="2024-12-30T00:00:00"/>
        <groupItems count="6">
          <s v="&lt;02-01-2023"/>
          <s v="Qtr1"/>
          <s v="Qtr2"/>
          <s v="Qtr3"/>
          <s v="Qtr4"/>
          <s v="&gt;30-12-2024"/>
        </groupItems>
      </fieldGroup>
    </cacheField>
    <cacheField name="Years (Date)" numFmtId="0" databaseField="0">
      <fieldGroup base="0">
        <rangePr groupBy="years" startDate="2023-01-02T00:00:00" endDate="2024-12-30T00:00:00"/>
        <groupItems count="4">
          <s v="&lt;02-01-2023"/>
          <s v="2023"/>
          <s v="2024"/>
          <s v="&gt;30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KSHI MISHRA" refreshedDate="46000.734012152781" backgroundQuery="1" createdVersion="8" refreshedVersion="8" minRefreshableVersion="3" recordCount="0" supportSubquery="1" supportAdvancedDrill="1" xr:uid="{EBB4544A-6D4D-4482-824A-69083D61E55A}">
  <cacheSource type="external" connectionId="1"/>
  <cacheFields count="5">
    <cacheField name="[Measures].[Sum of Total Expenses]" caption="Sum of Total Expenses" numFmtId="0" hierarchy="15" level="32767"/>
    <cacheField name="[Table2].[Date].[Date]" caption="Date" numFmtId="0" level="1">
      <sharedItems containsSemiMixedTypes="0" containsNonDate="0" containsDate="1" containsString="0" minDate="2023-01-04T00:00:00" maxDate="2024-12-29T00:00:00" count="290">
        <d v="2023-01-04T00:00:00"/>
        <d v="2023-01-06T00:00:00"/>
        <d v="2023-01-07T00:00:00"/>
        <d v="2023-01-10T00:00:00"/>
        <d v="2023-01-14T00:00:00"/>
        <d v="2023-01-17T00:00:00"/>
        <d v="2023-01-21T00:00:00"/>
        <d v="2023-01-26T00:00:00"/>
        <d v="2023-01-28T00:00:00"/>
        <d v="2023-01-29T00:00:00"/>
        <d v="2023-02-02T00:00:00"/>
        <d v="2023-02-04T00:00:00"/>
        <d v="2023-02-08T00:00:00"/>
        <d v="2023-02-10T00:00:00"/>
        <d v="2023-02-11T00:00:00"/>
        <d v="2023-02-14T00:00:00"/>
        <d v="2023-02-16T00:00:00"/>
        <d v="2023-02-20T00:00:00"/>
        <d v="2023-02-21T00:00:00"/>
        <d v="2023-02-24T00:00:00"/>
        <d v="2023-02-25T00:00:00"/>
        <d v="2023-02-27T00:00:00"/>
        <d v="2023-03-01T00:00:00"/>
        <d v="2023-03-03T00:00:00"/>
        <d v="2023-03-05T00:00:00"/>
        <d v="2023-03-08T00:00:00"/>
        <d v="2023-03-12T00:00:00"/>
        <d v="2023-03-13T00:00:00"/>
        <d v="2023-03-14T00:00:00"/>
        <d v="2023-03-16T00:00:00"/>
        <d v="2023-03-18T00:00:00"/>
        <d v="2023-03-19T00:00:00"/>
        <d v="2023-03-20T00:00:00"/>
        <d v="2023-03-25T00:00:00"/>
        <d v="2023-03-28T00:00:00"/>
        <d v="2023-03-31T00:00:00"/>
        <d v="2023-04-01T00:00:00"/>
        <d v="2023-04-04T00:00:00"/>
        <d v="2023-04-06T00:00:00"/>
        <d v="2023-04-07T00:00:00"/>
        <d v="2023-04-08T00:00:00"/>
        <d v="2023-04-10T00:00:00"/>
        <d v="2023-04-13T00:00:00"/>
        <d v="2023-04-14T00:00:00"/>
        <d v="2023-04-15T00:00:00"/>
        <d v="2023-04-16T00:00:00"/>
        <d v="2023-04-17T00:00:00"/>
        <d v="2023-04-18T00:00:00"/>
        <d v="2023-04-20T00:00:00"/>
        <d v="2023-04-24T00:00:00"/>
        <d v="2023-05-02T00:00:00"/>
        <d v="2023-05-08T00:00:00"/>
        <d v="2023-05-09T00:00:00"/>
        <d v="2023-05-13T00:00:00"/>
        <d v="2023-05-16T00:00:00"/>
        <d v="2023-05-17T00:00:00"/>
        <d v="2023-05-18T00:00:00"/>
        <d v="2023-05-21T00:00:00"/>
        <d v="2023-05-22T00:00:00"/>
        <d v="2023-05-24T00:00:00"/>
        <d v="2023-05-29T00:00:00"/>
        <d v="2023-05-31T00:00:00"/>
        <d v="2023-06-01T00:00:00"/>
        <d v="2023-06-03T00:00:00"/>
        <d v="2023-06-04T00:00:00"/>
        <d v="2023-06-05T00:00:00"/>
        <d v="2023-06-07T00:00:00"/>
        <d v="2023-06-08T00:00:00"/>
        <d v="2023-06-09T00:00:00"/>
        <d v="2023-06-12T00:00:00"/>
        <d v="2023-06-19T00:00:00"/>
        <d v="2023-06-21T00:00:00"/>
        <d v="2023-06-22T00:00:00"/>
        <d v="2023-06-23T00:00:00"/>
        <d v="2023-06-24T00:00:00"/>
        <d v="2023-06-25T00:00:00"/>
        <d v="2023-06-28T00:00:00"/>
        <d v="2023-06-29T00:00:00"/>
        <d v="2023-07-02T00:00:00"/>
        <d v="2023-07-04T00:00:00"/>
        <d v="2023-07-06T00:00:00"/>
        <d v="2023-07-09T00:00:00"/>
        <d v="2023-07-11T00:00:00"/>
        <d v="2023-07-14T00:00:00"/>
        <d v="2023-07-17T00:00:00"/>
        <d v="2023-07-22T00:00:00"/>
        <d v="2023-07-27T00:00:00"/>
        <d v="2023-08-04T00:00:00"/>
        <d v="2023-08-05T00:00:00"/>
        <d v="2023-08-06T00:00:00"/>
        <d v="2023-08-07T00:00:00"/>
        <d v="2023-08-10T00:00:00"/>
        <d v="2023-08-11T00:00:00"/>
        <d v="2023-08-15T00:00:00"/>
        <d v="2023-08-16T00:00:00"/>
        <d v="2023-08-20T00:00:00"/>
        <d v="2023-08-21T00:00:00"/>
        <d v="2023-08-22T00:00:00"/>
        <d v="2023-08-25T00:00:00"/>
        <d v="2023-08-29T00:00:00"/>
        <d v="2023-09-01T00:00:00"/>
        <d v="2023-09-03T00:00:00"/>
        <d v="2023-09-07T00:00:00"/>
        <d v="2023-09-15T00:00:00"/>
        <d v="2023-09-19T00:00:00"/>
        <d v="2023-09-21T00:00:00"/>
        <d v="2023-09-26T00:00:00"/>
        <d v="2023-09-28T00:00:00"/>
        <d v="2023-09-29T00:00:00"/>
        <d v="2023-09-30T00:00:00"/>
        <d v="2023-10-04T00:00:00"/>
        <d v="2023-10-07T00:00:00"/>
        <d v="2023-10-09T00:00:00"/>
        <d v="2023-10-12T00:00:00"/>
        <d v="2023-10-15T00:00:00"/>
        <d v="2023-10-17T00:00:00"/>
        <d v="2023-10-21T00:00:00"/>
        <d v="2023-10-22T00:00:00"/>
        <d v="2023-10-23T00:00:00"/>
        <d v="2023-11-01T00:00:00"/>
        <d v="2023-11-03T00:00:00"/>
        <d v="2023-11-04T00:00:00"/>
        <d v="2023-11-05T00:00:00"/>
        <d v="2023-11-07T00:00:00"/>
        <d v="2023-11-09T00:00:00"/>
        <d v="2023-11-14T00:00:00"/>
        <d v="2023-11-18T00:00:00"/>
        <d v="2023-11-23T00:00:00"/>
        <d v="2023-11-24T00:00:00"/>
        <d v="2023-11-26T00:00:00"/>
        <d v="2023-12-02T00:00:00"/>
        <d v="2023-12-03T00:00:00"/>
        <d v="2023-12-04T00:00:00"/>
        <d v="2023-12-05T00:00:00"/>
        <d v="2023-12-06T00:00:00"/>
        <d v="2023-12-07T00:00:00"/>
        <d v="2023-12-09T00:00:00"/>
        <d v="2023-12-11T00:00:00"/>
        <d v="2023-12-12T00:00:00"/>
        <d v="2023-12-13T00:00:00"/>
        <d v="2023-12-15T00:00:00"/>
        <d v="2023-12-25T00:00:00"/>
        <d v="2024-01-02T00:00:00"/>
        <d v="2024-01-09T00:00:00"/>
        <d v="2024-01-10T00:00:00"/>
        <d v="2024-01-15T00:00:00"/>
        <d v="2024-01-16T00:00:00"/>
        <d v="2024-01-19T00:00:00"/>
        <d v="2024-01-20T00:00:00"/>
        <d v="2024-01-22T00:00:00"/>
        <d v="2024-01-25T00:00:00"/>
        <d v="2024-01-27T00:00:00"/>
        <d v="2024-01-30T00:00:00"/>
        <d v="2024-01-31T00:00:00"/>
        <d v="2024-02-02T00:00:00"/>
        <d v="2024-02-03T00:00:00"/>
        <d v="2024-02-05T00:00:00"/>
        <d v="2024-02-06T00:00:00"/>
        <d v="2024-02-08T00:00:00"/>
        <d v="2024-02-09T00:00:00"/>
        <d v="2024-02-10T00:00:00"/>
        <d v="2024-02-11T00:00:00"/>
        <d v="2024-02-13T00:00:00"/>
        <d v="2024-02-15T00:00:00"/>
        <d v="2024-02-19T00:00:00"/>
        <d v="2024-02-24T00:00:00"/>
        <d v="2024-02-25T00:00:00"/>
        <d v="2024-02-26T00:00:00"/>
        <d v="2024-03-01T00:00:00"/>
        <d v="2024-03-02T00:00:00"/>
        <d v="2024-03-03T00:00:00"/>
        <d v="2024-03-11T00:00:00"/>
        <d v="2024-03-16T00:00:00"/>
        <d v="2024-03-18T00:00:00"/>
        <d v="2024-03-20T00:00:00"/>
        <d v="2024-03-22T00:00:00"/>
        <d v="2024-04-04T00:00:00"/>
        <d v="2024-04-05T00:00:00"/>
        <d v="2024-04-06T00:00:00"/>
        <d v="2024-04-07T00:00:00"/>
        <d v="2024-04-08T00:00:00"/>
        <d v="2024-04-11T00:00:00"/>
        <d v="2024-04-13T00:00:00"/>
        <d v="2024-04-18T00:00:00"/>
        <d v="2024-04-19T00:00:00"/>
        <d v="2024-04-21T00:00:00"/>
        <d v="2024-04-23T00:00:00"/>
        <d v="2024-04-27T00:00:00"/>
        <d v="2024-04-28T00:00:00"/>
        <d v="2024-04-29T00:00:00"/>
        <d v="2024-04-30T00:00:00"/>
        <d v="2024-05-01T00:00:00"/>
        <d v="2024-05-02T00:00:00"/>
        <d v="2024-05-08T00:00:00"/>
        <d v="2024-05-10T00:00:00"/>
        <d v="2024-05-16T00:00:00"/>
        <d v="2024-05-18T00:00:00"/>
        <d v="2024-05-20T00:00:00"/>
        <d v="2024-05-21T00:00:00"/>
        <d v="2024-05-22T00:00:00"/>
        <d v="2024-05-29T00:00:00"/>
        <d v="2024-05-30T00:00:00"/>
        <d v="2024-05-31T00:00:00"/>
        <d v="2024-06-01T00:00:00"/>
        <d v="2024-06-02T00:00:00"/>
        <d v="2024-06-03T00:00:00"/>
        <d v="2024-06-05T00:00:00"/>
        <d v="2024-06-06T00:00:00"/>
        <d v="2024-06-07T00:00:00"/>
        <d v="2024-06-08T00:00:00"/>
        <d v="2024-06-12T00:00:00"/>
        <d v="2024-06-16T00:00:00"/>
        <d v="2024-06-19T00:00:00"/>
        <d v="2024-06-21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4T00:00:00"/>
        <d v="2024-07-22T00:00:00"/>
        <d v="2024-07-25T00:00:00"/>
        <d v="2024-07-26T00:00:00"/>
        <d v="2024-07-28T00:00:00"/>
        <d v="2024-08-01T00:00:00"/>
        <d v="2024-08-07T00:00:00"/>
        <d v="2024-08-09T00:00:00"/>
        <d v="2024-08-11T00:00:00"/>
        <d v="2024-08-13T00:00:00"/>
        <d v="2024-08-17T00:00:00"/>
        <d v="2024-08-19T00:00:00"/>
        <d v="2024-08-20T00:00:00"/>
        <d v="2024-08-25T00:00:00"/>
        <d v="2024-08-27T00:00:00"/>
        <d v="2024-08-28T00:00:00"/>
        <d v="2024-08-29T00:00:00"/>
        <d v="2024-09-02T00:00:00"/>
        <d v="2024-09-04T00:00:00"/>
        <d v="2024-09-10T00:00:00"/>
        <d v="2024-09-13T00:00:00"/>
        <d v="2024-09-15T00:00:00"/>
        <d v="2024-09-16T00:00:00"/>
        <d v="2024-09-17T00:00:00"/>
        <d v="2024-09-23T00:00:00"/>
        <d v="2024-09-28T00:00:00"/>
        <d v="2024-09-29T00:00:00"/>
        <d v="2024-10-01T00:00:00"/>
        <d v="2024-10-02T00:00:00"/>
        <d v="2024-10-04T00:00:00"/>
        <d v="2024-10-07T00:00:00"/>
        <d v="2024-10-10T00:00:00"/>
        <d v="2024-10-11T00:00:00"/>
        <d v="2024-10-12T00:00:00"/>
        <d v="2024-10-13T00:00:00"/>
        <d v="2024-10-14T00:00:00"/>
        <d v="2024-10-18T00:00:00"/>
        <d v="2024-10-23T00:00:00"/>
        <d v="2024-10-25T00:00:00"/>
        <d v="2024-10-26T00:00:00"/>
        <d v="2024-10-29T00:00:00"/>
        <d v="2024-10-30T00:00:00"/>
        <d v="2024-11-08T00:00:00"/>
        <d v="2024-11-12T00:00:00"/>
        <d v="2024-11-14T00:00:00"/>
        <d v="2024-11-15T00:00:00"/>
        <d v="2024-11-16T00:00:00"/>
        <d v="2024-11-18T00:00:00"/>
        <d v="2024-11-20T00:00:00"/>
        <d v="2024-11-22T00:00:00"/>
        <d v="2024-11-23T00:00:00"/>
        <d v="2024-11-24T00:00:00"/>
        <d v="2024-11-26T00:00:00"/>
        <d v="2024-11-29T00:00:00"/>
        <d v="2024-11-30T00:00:00"/>
        <d v="2024-12-01T00:00:00"/>
        <d v="2024-12-04T00:00:00"/>
        <d v="2024-12-05T00:00:00"/>
        <d v="2024-12-08T00:00:00"/>
        <d v="2024-12-11T00:00:00"/>
        <d v="2024-12-17T00:00:00"/>
        <d v="2024-12-26T00:00:00"/>
        <d v="2024-12-27T00:00:00"/>
        <d v="2024-12-28T00:00:00"/>
      </sharedItems>
    </cacheField>
    <cacheField name="[Table2].[Date (Month)].[Date (Month)]" caption="Date (Month)" numFmtId="0" hierarchy="1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2].[Date (Quarter)].[Date (Quarter)]" caption="Date (Quarter)" numFmtId="0" hierarchy="10" level="1">
      <sharedItems count="4">
        <s v="Qtr1"/>
        <s v="Qtr2"/>
        <s v="Qtr3"/>
        <s v="Qtr4"/>
      </sharedItems>
    </cacheField>
    <cacheField name="[Table2].[Date (Year)].[Date (Year)]" caption="Date (Year)" numFmtId="0" hierarchy="9" level="1">
      <sharedItems count="2">
        <s v="2023"/>
        <s v="2024"/>
      </sharedItems>
    </cacheField>
  </cacheFields>
  <cacheHierarchies count="16">
    <cacheHierarchy uniqueName="[Table2].[Date]" caption="Date" attribute="1" time="1" defaultMemberUniqueName="[Table2].[Date].[All]" allUniqueName="[Table2].[Date].[All]" dimensionUniqueName="[Table2]" displayFolder="" count="2" memberValueDatatype="7" unbalanced="0">
      <fieldsUsage count="2">
        <fieldUsage x="-1"/>
        <fieldUsage x="1"/>
      </fieldsUsage>
    </cacheHierarchy>
    <cacheHierarchy uniqueName="[Table2].[Department]" caption="Department" attribute="1" defaultMemberUniqueName="[Table2].[Department].[All]" allUniqueName="[Table2].[Department].[All]" dimensionUniqueName="[Table2]" displayFolder="" count="0" memberValueDatatype="130" unbalanced="0"/>
    <cacheHierarchy uniqueName="[Table2].[Expense Category]" caption="Expense Category" attribute="1" defaultMemberUniqueName="[Table2].[Expense Category].[All]" allUniqueName="[Table2].[Expense Category].[All]" dimensionUniqueName="[Table2]" displayFolder="" count="0" memberValueDatatype="130" unbalanced="0"/>
    <cacheHierarchy uniqueName="[Table2].[Vendor]" caption="Vendor" attribute="1" defaultMemberUniqueName="[Table2].[Vendor].[All]" allUniqueName="[Table2].[Vendor].[All]" dimensionUniqueName="[Table2]" displayFolder="" count="0" memberValueDatatype="130" unbalanced="0"/>
    <cacheHierarchy uniqueName="[Table2].[Amount]" caption="Amount" attribute="1" defaultMemberUniqueName="[Table2].[Amount].[All]" allUniqueName="[Table2].[Amount].[All]" dimensionUniqueName="[Table2]" displayFolder="" count="0" memberValueDatatype="20" unbalanced="0"/>
    <cacheHierarchy uniqueName="[Table2].[GST%]" caption="GST%" attribute="1" defaultMemberUniqueName="[Table2].[GST%].[All]" allUniqueName="[Table2].[GST%].[All]" dimensionUniqueName="[Table2]" displayFolder="" count="0" memberValueDatatype="20" unbalanced="0"/>
    <cacheHierarchy uniqueName="[Table2].[GST Amount]" caption="GST Amount" attribute="1" defaultMemberUniqueName="[Table2].[GST Amount].[All]" allUniqueName="[Table2].[GST Amount].[All]" dimensionUniqueName="[Table2]" displayFolder="" count="0" memberValueDatatype="5" unbalanced="0"/>
    <cacheHierarchy uniqueName="[Table2].[Total Expenses]" caption="Total Expenses" attribute="1" defaultMemberUniqueName="[Table2].[Total Expenses].[All]" allUniqueName="[Table2].[Total Expenses].[All]" dimensionUniqueName="[Table2]" displayFolder="" count="0" memberValueDatatype="5" unbalanced="0"/>
    <cacheHierarchy uniqueName="[Table2].[Cost Center]" caption="Cost Center" attribute="1" defaultMemberUniqueName="[Table2].[Cost Center].[All]" allUniqueName="[Table2].[Cost Center].[All]" dimensionUniqueName="[Table2]" displayFolder="" count="0" memberValueDatatype="130" unbalanced="0"/>
    <cacheHierarchy uniqueName="[Table2].[Date (Year)]" caption="Date (Year)" attribute="1" defaultMemberUniqueName="[Table2].[Date (Year)].[All]" allUniqueName="[Table2].[Date (Year)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Date (Quarter)]" caption="Date (Quarter)" attribute="1" defaultMemberUniqueName="[Table2].[Date (Quarter)].[All]" allUniqueName="[Table2].[Date (Quarter)].[All]" dimensionUniqueName="[Table2]" displayFolder="" count="2" memberValueDatatype="130" unbalanced="0">
      <fieldsUsage count="2">
        <fieldUsage x="-1"/>
        <fieldUsage x="3"/>
      </fieldsUsage>
    </cacheHierarchy>
    <cacheHierarchy uniqueName="[Table2].[Date (Month)]" caption="Date (Month)" attribute="1" defaultMemberUniqueName="[Table2].[Date (Month)].[All]" allUniqueName="[Table2].[Date (Month)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 Expenses]" caption="Sum of Total Expenses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x v="0"/>
    <x v="0"/>
    <x v="0"/>
    <n v="8862"/>
    <x v="0"/>
    <n v="443.1"/>
    <n v="9305.1"/>
    <s v="CC102"/>
  </r>
  <r>
    <x v="1"/>
    <x v="1"/>
    <x v="0"/>
    <x v="1"/>
    <n v="19785"/>
    <x v="1"/>
    <n v="2374.1999999999998"/>
    <n v="22159.200000000001"/>
    <s v="CC103"/>
  </r>
  <r>
    <x v="2"/>
    <x v="2"/>
    <x v="1"/>
    <x v="0"/>
    <n v="33696"/>
    <x v="0"/>
    <n v="1684.8"/>
    <n v="35380.800000000003"/>
    <s v="CC102"/>
  </r>
  <r>
    <x v="3"/>
    <x v="2"/>
    <x v="2"/>
    <x v="0"/>
    <n v="18826"/>
    <x v="1"/>
    <n v="2259.12"/>
    <n v="21085.119999999999"/>
    <s v="CC101"/>
  </r>
  <r>
    <x v="4"/>
    <x v="3"/>
    <x v="3"/>
    <x v="2"/>
    <n v="1981"/>
    <x v="1"/>
    <n v="237.72"/>
    <n v="2218.7199999999998"/>
    <s v="CC106"/>
  </r>
  <r>
    <x v="5"/>
    <x v="2"/>
    <x v="4"/>
    <x v="3"/>
    <n v="30251"/>
    <x v="2"/>
    <n v="5445.18"/>
    <n v="35696.18"/>
    <s v="CC101"/>
  </r>
  <r>
    <x v="6"/>
    <x v="2"/>
    <x v="0"/>
    <x v="2"/>
    <n v="41986"/>
    <x v="0"/>
    <n v="2099.3000000000002"/>
    <n v="44085.3"/>
    <s v="CC105"/>
  </r>
  <r>
    <x v="7"/>
    <x v="0"/>
    <x v="5"/>
    <x v="2"/>
    <n v="29151"/>
    <x v="1"/>
    <n v="3498.12"/>
    <n v="32649.119999999999"/>
    <s v="CC102"/>
  </r>
  <r>
    <x v="4"/>
    <x v="1"/>
    <x v="6"/>
    <x v="4"/>
    <n v="26391"/>
    <x v="2"/>
    <n v="4750.38"/>
    <n v="31141.38"/>
    <s v="CC104"/>
  </r>
  <r>
    <x v="8"/>
    <x v="1"/>
    <x v="5"/>
    <x v="5"/>
    <n v="21060"/>
    <x v="2"/>
    <n v="3790.8"/>
    <n v="24850.799999999999"/>
    <s v="CC101"/>
  </r>
  <r>
    <x v="9"/>
    <x v="1"/>
    <x v="1"/>
    <x v="6"/>
    <n v="32700"/>
    <x v="0"/>
    <n v="1635"/>
    <n v="34335"/>
    <s v="CC101"/>
  </r>
  <r>
    <x v="10"/>
    <x v="4"/>
    <x v="7"/>
    <x v="7"/>
    <n v="47270"/>
    <x v="1"/>
    <n v="5672.4"/>
    <n v="52942.400000000001"/>
    <s v="CC106"/>
  </r>
  <r>
    <x v="11"/>
    <x v="5"/>
    <x v="5"/>
    <x v="2"/>
    <n v="4715"/>
    <x v="0"/>
    <n v="235.75"/>
    <n v="4950.75"/>
    <s v="CC104"/>
  </r>
  <r>
    <x v="12"/>
    <x v="4"/>
    <x v="0"/>
    <x v="3"/>
    <n v="43011"/>
    <x v="0"/>
    <n v="2150.5500000000002"/>
    <n v="45161.55"/>
    <s v="CC101"/>
  </r>
  <r>
    <x v="13"/>
    <x v="4"/>
    <x v="0"/>
    <x v="8"/>
    <n v="5517"/>
    <x v="0"/>
    <n v="275.85000000000002"/>
    <n v="5792.85"/>
    <s v="CC106"/>
  </r>
  <r>
    <x v="14"/>
    <x v="0"/>
    <x v="2"/>
    <x v="8"/>
    <n v="30647"/>
    <x v="0"/>
    <n v="1532.35"/>
    <n v="32179.35"/>
    <s v="CC103"/>
  </r>
  <r>
    <x v="15"/>
    <x v="4"/>
    <x v="3"/>
    <x v="1"/>
    <n v="30151"/>
    <x v="1"/>
    <n v="3618.12"/>
    <n v="33769.120000000003"/>
    <s v="CC101"/>
  </r>
  <r>
    <x v="16"/>
    <x v="3"/>
    <x v="5"/>
    <x v="1"/>
    <n v="9298"/>
    <x v="0"/>
    <n v="464.9"/>
    <n v="9762.9"/>
    <s v="CC106"/>
  </r>
  <r>
    <x v="17"/>
    <x v="3"/>
    <x v="5"/>
    <x v="6"/>
    <n v="6225"/>
    <x v="2"/>
    <n v="1120.5"/>
    <n v="7345.5"/>
    <s v="CC104"/>
  </r>
  <r>
    <x v="18"/>
    <x v="2"/>
    <x v="0"/>
    <x v="4"/>
    <n v="21616"/>
    <x v="2"/>
    <n v="3890.88"/>
    <n v="25506.880000000001"/>
    <s v="CC106"/>
  </r>
  <r>
    <x v="19"/>
    <x v="4"/>
    <x v="2"/>
    <x v="6"/>
    <n v="43721"/>
    <x v="2"/>
    <n v="7869.78"/>
    <n v="51590.78"/>
    <s v="CC105"/>
  </r>
  <r>
    <x v="20"/>
    <x v="1"/>
    <x v="8"/>
    <x v="2"/>
    <n v="764"/>
    <x v="2"/>
    <n v="137.52000000000001"/>
    <n v="901.52"/>
    <s v="CC106"/>
  </r>
  <r>
    <x v="21"/>
    <x v="3"/>
    <x v="1"/>
    <x v="3"/>
    <n v="25730"/>
    <x v="1"/>
    <n v="3087.6"/>
    <n v="28817.599999999999"/>
    <s v="CC105"/>
  </r>
  <r>
    <x v="22"/>
    <x v="1"/>
    <x v="6"/>
    <x v="5"/>
    <n v="2673"/>
    <x v="2"/>
    <n v="481.14"/>
    <n v="3154.14"/>
    <s v="CC104"/>
  </r>
  <r>
    <x v="23"/>
    <x v="6"/>
    <x v="8"/>
    <x v="9"/>
    <n v="27936"/>
    <x v="0"/>
    <n v="1396.8"/>
    <n v="29332.799999999999"/>
    <s v="CC106"/>
  </r>
  <r>
    <x v="24"/>
    <x v="2"/>
    <x v="3"/>
    <x v="0"/>
    <n v="37170"/>
    <x v="1"/>
    <n v="4460.3999999999996"/>
    <n v="41630.400000000001"/>
    <s v="CC104"/>
  </r>
  <r>
    <x v="25"/>
    <x v="7"/>
    <x v="3"/>
    <x v="7"/>
    <n v="11234"/>
    <x v="2"/>
    <n v="2022.12"/>
    <n v="13256.119999999999"/>
    <s v="CC105"/>
  </r>
  <r>
    <x v="26"/>
    <x v="6"/>
    <x v="9"/>
    <x v="1"/>
    <n v="27242"/>
    <x v="0"/>
    <n v="1362.1"/>
    <n v="28604.1"/>
    <s v="CC106"/>
  </r>
  <r>
    <x v="27"/>
    <x v="2"/>
    <x v="7"/>
    <x v="6"/>
    <n v="47425"/>
    <x v="2"/>
    <n v="8536.5"/>
    <n v="55961.5"/>
    <s v="CC105"/>
  </r>
  <r>
    <x v="28"/>
    <x v="3"/>
    <x v="5"/>
    <x v="3"/>
    <n v="27368"/>
    <x v="1"/>
    <n v="3284.16"/>
    <n v="30652.16"/>
    <s v="CC105"/>
  </r>
  <r>
    <x v="29"/>
    <x v="1"/>
    <x v="4"/>
    <x v="3"/>
    <n v="39343"/>
    <x v="1"/>
    <n v="4721.16"/>
    <n v="44064.160000000003"/>
    <s v="CC106"/>
  </r>
  <r>
    <x v="30"/>
    <x v="4"/>
    <x v="6"/>
    <x v="9"/>
    <n v="10872"/>
    <x v="1"/>
    <n v="1304.6400000000001"/>
    <n v="12176.64"/>
    <s v="CC102"/>
  </r>
  <r>
    <x v="31"/>
    <x v="3"/>
    <x v="0"/>
    <x v="9"/>
    <n v="6230"/>
    <x v="1"/>
    <n v="747.6"/>
    <n v="6977.6"/>
    <s v="CC102"/>
  </r>
  <r>
    <x v="32"/>
    <x v="0"/>
    <x v="5"/>
    <x v="6"/>
    <n v="5783"/>
    <x v="1"/>
    <n v="693.96"/>
    <n v="6476.96"/>
    <s v="CC101"/>
  </r>
  <r>
    <x v="33"/>
    <x v="6"/>
    <x v="1"/>
    <x v="2"/>
    <n v="24024"/>
    <x v="1"/>
    <n v="2882.88"/>
    <n v="26906.880000000001"/>
    <s v="CC102"/>
  </r>
  <r>
    <x v="34"/>
    <x v="3"/>
    <x v="4"/>
    <x v="0"/>
    <n v="28622"/>
    <x v="0"/>
    <n v="1431.1"/>
    <n v="30053.1"/>
    <s v="CC106"/>
  </r>
  <r>
    <x v="32"/>
    <x v="6"/>
    <x v="0"/>
    <x v="6"/>
    <n v="31075"/>
    <x v="0"/>
    <n v="1553.75"/>
    <n v="32628.75"/>
    <s v="CC105"/>
  </r>
  <r>
    <x v="35"/>
    <x v="1"/>
    <x v="9"/>
    <x v="5"/>
    <n v="43689"/>
    <x v="0"/>
    <n v="2184.4499999999998"/>
    <n v="45873.45"/>
    <s v="CC102"/>
  </r>
  <r>
    <x v="36"/>
    <x v="6"/>
    <x v="8"/>
    <x v="0"/>
    <n v="19535"/>
    <x v="0"/>
    <n v="976.75"/>
    <n v="20511.75"/>
    <s v="CC102"/>
  </r>
  <r>
    <x v="37"/>
    <x v="0"/>
    <x v="9"/>
    <x v="7"/>
    <n v="2325"/>
    <x v="0"/>
    <n v="116.25"/>
    <n v="2441.25"/>
    <s v="CC106"/>
  </r>
  <r>
    <x v="38"/>
    <x v="1"/>
    <x v="8"/>
    <x v="9"/>
    <n v="39367"/>
    <x v="0"/>
    <n v="1968.35"/>
    <n v="41335.35"/>
    <s v="CC103"/>
  </r>
  <r>
    <x v="39"/>
    <x v="0"/>
    <x v="5"/>
    <x v="6"/>
    <n v="22361"/>
    <x v="2"/>
    <n v="4024.98"/>
    <n v="26385.98"/>
    <s v="CC103"/>
  </r>
  <r>
    <x v="40"/>
    <x v="5"/>
    <x v="3"/>
    <x v="0"/>
    <n v="28720"/>
    <x v="1"/>
    <n v="3446.4"/>
    <n v="32166.400000000001"/>
    <s v="CC102"/>
  </r>
  <r>
    <x v="41"/>
    <x v="3"/>
    <x v="1"/>
    <x v="0"/>
    <n v="7271"/>
    <x v="2"/>
    <n v="1308.78"/>
    <n v="8579.7800000000007"/>
    <s v="CC104"/>
  </r>
  <r>
    <x v="42"/>
    <x v="7"/>
    <x v="4"/>
    <x v="9"/>
    <n v="26237"/>
    <x v="1"/>
    <n v="3148.44"/>
    <n v="29385.439999999999"/>
    <s v="CC102"/>
  </r>
  <r>
    <x v="43"/>
    <x v="0"/>
    <x v="5"/>
    <x v="3"/>
    <n v="21352"/>
    <x v="0"/>
    <n v="1067.5999999999999"/>
    <n v="22419.599999999999"/>
    <s v="CC101"/>
  </r>
  <r>
    <x v="44"/>
    <x v="6"/>
    <x v="5"/>
    <x v="2"/>
    <n v="9043"/>
    <x v="1"/>
    <n v="1085.1600000000001"/>
    <n v="10128.16"/>
    <s v="CC104"/>
  </r>
  <r>
    <x v="45"/>
    <x v="4"/>
    <x v="6"/>
    <x v="1"/>
    <n v="5168"/>
    <x v="2"/>
    <n v="930.24"/>
    <n v="6098.24"/>
    <s v="CC101"/>
  </r>
  <r>
    <x v="46"/>
    <x v="5"/>
    <x v="0"/>
    <x v="8"/>
    <n v="4312"/>
    <x v="1"/>
    <n v="517.44000000000005"/>
    <n v="4829.4400000000005"/>
    <s v="CC103"/>
  </r>
  <r>
    <x v="47"/>
    <x v="1"/>
    <x v="4"/>
    <x v="3"/>
    <n v="9871"/>
    <x v="2"/>
    <n v="1776.78"/>
    <n v="11647.78"/>
    <s v="CC103"/>
  </r>
  <r>
    <x v="48"/>
    <x v="2"/>
    <x v="3"/>
    <x v="2"/>
    <n v="31324"/>
    <x v="1"/>
    <n v="3758.88"/>
    <n v="35082.879999999997"/>
    <s v="CC105"/>
  </r>
  <r>
    <x v="49"/>
    <x v="5"/>
    <x v="0"/>
    <x v="9"/>
    <n v="34886"/>
    <x v="2"/>
    <n v="6279.48"/>
    <n v="41165.479999999996"/>
    <s v="CC106"/>
  </r>
  <r>
    <x v="50"/>
    <x v="3"/>
    <x v="8"/>
    <x v="6"/>
    <n v="17192"/>
    <x v="2"/>
    <n v="3094.56"/>
    <n v="20286.560000000001"/>
    <s v="CC106"/>
  </r>
  <r>
    <x v="51"/>
    <x v="3"/>
    <x v="0"/>
    <x v="2"/>
    <n v="5297"/>
    <x v="0"/>
    <n v="264.85000000000002"/>
    <n v="5561.85"/>
    <s v="CC106"/>
  </r>
  <r>
    <x v="52"/>
    <x v="5"/>
    <x v="5"/>
    <x v="7"/>
    <n v="38703"/>
    <x v="1"/>
    <n v="4644.3599999999997"/>
    <n v="43347.360000000001"/>
    <s v="CC101"/>
  </r>
  <r>
    <x v="53"/>
    <x v="1"/>
    <x v="2"/>
    <x v="8"/>
    <n v="16934"/>
    <x v="1"/>
    <n v="2032.08"/>
    <n v="18966.080000000002"/>
    <s v="CC106"/>
  </r>
  <r>
    <x v="54"/>
    <x v="7"/>
    <x v="1"/>
    <x v="9"/>
    <n v="9629"/>
    <x v="1"/>
    <n v="1155.48"/>
    <n v="10784.48"/>
    <s v="CC101"/>
  </r>
  <r>
    <x v="55"/>
    <x v="1"/>
    <x v="4"/>
    <x v="5"/>
    <n v="28812"/>
    <x v="2"/>
    <n v="5186.16"/>
    <n v="33998.160000000003"/>
    <s v="CC104"/>
  </r>
  <r>
    <x v="56"/>
    <x v="0"/>
    <x v="1"/>
    <x v="8"/>
    <n v="10605"/>
    <x v="0"/>
    <n v="530.25"/>
    <n v="11135.25"/>
    <s v="CC102"/>
  </r>
  <r>
    <x v="57"/>
    <x v="2"/>
    <x v="8"/>
    <x v="7"/>
    <n v="22381"/>
    <x v="1"/>
    <n v="2685.72"/>
    <n v="25066.720000000001"/>
    <s v="CC102"/>
  </r>
  <r>
    <x v="58"/>
    <x v="4"/>
    <x v="6"/>
    <x v="1"/>
    <n v="9249"/>
    <x v="0"/>
    <n v="462.45"/>
    <n v="9711.4500000000007"/>
    <s v="CC101"/>
  </r>
  <r>
    <x v="59"/>
    <x v="4"/>
    <x v="4"/>
    <x v="1"/>
    <n v="44770"/>
    <x v="2"/>
    <n v="8058.6"/>
    <n v="52828.6"/>
    <s v="CC103"/>
  </r>
  <r>
    <x v="60"/>
    <x v="6"/>
    <x v="5"/>
    <x v="3"/>
    <n v="32341"/>
    <x v="1"/>
    <n v="3880.92"/>
    <n v="36221.919999999998"/>
    <s v="CC101"/>
  </r>
  <r>
    <x v="61"/>
    <x v="7"/>
    <x v="6"/>
    <x v="7"/>
    <n v="24228"/>
    <x v="2"/>
    <n v="4361.04"/>
    <n v="28589.040000000001"/>
    <s v="CC101"/>
  </r>
  <r>
    <x v="62"/>
    <x v="3"/>
    <x v="5"/>
    <x v="0"/>
    <n v="20649"/>
    <x v="0"/>
    <n v="1032.45"/>
    <n v="21681.45"/>
    <s v="CC103"/>
  </r>
  <r>
    <x v="30"/>
    <x v="1"/>
    <x v="5"/>
    <x v="6"/>
    <n v="7033"/>
    <x v="2"/>
    <n v="1265.94"/>
    <n v="8298.94"/>
    <s v="CC106"/>
  </r>
  <r>
    <x v="63"/>
    <x v="4"/>
    <x v="4"/>
    <x v="2"/>
    <n v="27985"/>
    <x v="0"/>
    <n v="1399.25"/>
    <n v="29384.25"/>
    <s v="CC106"/>
  </r>
  <r>
    <x v="64"/>
    <x v="2"/>
    <x v="0"/>
    <x v="4"/>
    <n v="10991"/>
    <x v="0"/>
    <n v="549.54999999999995"/>
    <n v="11540.55"/>
    <s v="CC106"/>
  </r>
  <r>
    <x v="65"/>
    <x v="0"/>
    <x v="5"/>
    <x v="1"/>
    <n v="19141"/>
    <x v="1"/>
    <n v="2296.92"/>
    <n v="21437.919999999998"/>
    <s v="CC104"/>
  </r>
  <r>
    <x v="66"/>
    <x v="6"/>
    <x v="8"/>
    <x v="3"/>
    <n v="29229"/>
    <x v="0"/>
    <n v="1461.45"/>
    <n v="30690.45"/>
    <s v="CC105"/>
  </r>
  <r>
    <x v="67"/>
    <x v="0"/>
    <x v="7"/>
    <x v="2"/>
    <n v="38852"/>
    <x v="0"/>
    <n v="1942.6"/>
    <n v="40794.6"/>
    <s v="CC102"/>
  </r>
  <r>
    <x v="68"/>
    <x v="0"/>
    <x v="3"/>
    <x v="9"/>
    <n v="29400"/>
    <x v="1"/>
    <n v="3528"/>
    <n v="32928"/>
    <s v="CC102"/>
  </r>
  <r>
    <x v="69"/>
    <x v="2"/>
    <x v="1"/>
    <x v="2"/>
    <n v="26674"/>
    <x v="0"/>
    <n v="1333.7"/>
    <n v="28007.7"/>
    <s v="CC106"/>
  </r>
  <r>
    <x v="70"/>
    <x v="7"/>
    <x v="7"/>
    <x v="5"/>
    <n v="37451"/>
    <x v="0"/>
    <n v="1872.55"/>
    <n v="39323.550000000003"/>
    <s v="CC101"/>
  </r>
  <r>
    <x v="71"/>
    <x v="0"/>
    <x v="5"/>
    <x v="3"/>
    <n v="43320"/>
    <x v="2"/>
    <n v="7797.6"/>
    <n v="51117.599999999999"/>
    <s v="CC104"/>
  </r>
  <r>
    <x v="45"/>
    <x v="2"/>
    <x v="4"/>
    <x v="2"/>
    <n v="14071"/>
    <x v="1"/>
    <n v="1688.52"/>
    <n v="15759.52"/>
    <s v="CC104"/>
  </r>
  <r>
    <x v="72"/>
    <x v="2"/>
    <x v="9"/>
    <x v="1"/>
    <n v="1973"/>
    <x v="2"/>
    <n v="355.14"/>
    <n v="2328.14"/>
    <s v="CC106"/>
  </r>
  <r>
    <x v="73"/>
    <x v="4"/>
    <x v="8"/>
    <x v="7"/>
    <n v="20041"/>
    <x v="2"/>
    <n v="3607.38"/>
    <n v="23648.38"/>
    <s v="CC101"/>
  </r>
  <r>
    <x v="74"/>
    <x v="0"/>
    <x v="4"/>
    <x v="5"/>
    <n v="9386"/>
    <x v="1"/>
    <n v="1126.32"/>
    <n v="10512.32"/>
    <s v="CC106"/>
  </r>
  <r>
    <x v="75"/>
    <x v="7"/>
    <x v="2"/>
    <x v="5"/>
    <n v="47521"/>
    <x v="1"/>
    <n v="5702.52"/>
    <n v="53223.520000000004"/>
    <s v="CC101"/>
  </r>
  <r>
    <x v="12"/>
    <x v="4"/>
    <x v="9"/>
    <x v="8"/>
    <n v="10734"/>
    <x v="0"/>
    <n v="536.70000000000005"/>
    <n v="11270.7"/>
    <s v="CC102"/>
  </r>
  <r>
    <x v="76"/>
    <x v="2"/>
    <x v="8"/>
    <x v="9"/>
    <n v="37102"/>
    <x v="0"/>
    <n v="1855.1"/>
    <n v="38957.1"/>
    <s v="CC106"/>
  </r>
  <r>
    <x v="77"/>
    <x v="1"/>
    <x v="6"/>
    <x v="9"/>
    <n v="40822"/>
    <x v="1"/>
    <n v="4898.6400000000003"/>
    <n v="45720.639999999999"/>
    <s v="CC101"/>
  </r>
  <r>
    <x v="78"/>
    <x v="5"/>
    <x v="7"/>
    <x v="6"/>
    <n v="18382"/>
    <x v="1"/>
    <n v="2205.84"/>
    <n v="20587.84"/>
    <s v="CC101"/>
  </r>
  <r>
    <x v="79"/>
    <x v="1"/>
    <x v="4"/>
    <x v="0"/>
    <n v="18391"/>
    <x v="2"/>
    <n v="3310.38"/>
    <n v="21701.38"/>
    <s v="CC103"/>
  </r>
  <r>
    <x v="80"/>
    <x v="4"/>
    <x v="0"/>
    <x v="4"/>
    <n v="48814"/>
    <x v="0"/>
    <n v="2440.6999999999998"/>
    <n v="51254.7"/>
    <s v="CC104"/>
  </r>
  <r>
    <x v="81"/>
    <x v="0"/>
    <x v="1"/>
    <x v="6"/>
    <n v="37261"/>
    <x v="2"/>
    <n v="6706.98"/>
    <n v="43967.979999999996"/>
    <s v="CC106"/>
  </r>
  <r>
    <x v="82"/>
    <x v="3"/>
    <x v="9"/>
    <x v="3"/>
    <n v="40674"/>
    <x v="1"/>
    <n v="4880.88"/>
    <n v="45554.879999999997"/>
    <s v="CC101"/>
  </r>
  <r>
    <x v="83"/>
    <x v="2"/>
    <x v="1"/>
    <x v="2"/>
    <n v="38839"/>
    <x v="2"/>
    <n v="6991.02"/>
    <n v="45830.020000000004"/>
    <s v="CC105"/>
  </r>
  <r>
    <x v="84"/>
    <x v="2"/>
    <x v="5"/>
    <x v="1"/>
    <n v="42578"/>
    <x v="1"/>
    <n v="5109.3599999999997"/>
    <n v="47687.360000000001"/>
    <s v="CC104"/>
  </r>
  <r>
    <x v="85"/>
    <x v="6"/>
    <x v="5"/>
    <x v="5"/>
    <n v="12431"/>
    <x v="2"/>
    <n v="2237.58"/>
    <n v="14668.58"/>
    <s v="CC106"/>
  </r>
  <r>
    <x v="86"/>
    <x v="1"/>
    <x v="4"/>
    <x v="9"/>
    <n v="20192"/>
    <x v="0"/>
    <n v="1009.6"/>
    <n v="21201.599999999999"/>
    <s v="CC101"/>
  </r>
  <r>
    <x v="87"/>
    <x v="1"/>
    <x v="1"/>
    <x v="6"/>
    <n v="34692"/>
    <x v="1"/>
    <n v="4163.04"/>
    <n v="38855.040000000001"/>
    <s v="CC105"/>
  </r>
  <r>
    <x v="88"/>
    <x v="5"/>
    <x v="0"/>
    <x v="5"/>
    <n v="46549"/>
    <x v="1"/>
    <n v="5585.88"/>
    <n v="52134.879999999997"/>
    <s v="CC103"/>
  </r>
  <r>
    <x v="89"/>
    <x v="1"/>
    <x v="2"/>
    <x v="3"/>
    <n v="37915"/>
    <x v="0"/>
    <n v="1895.75"/>
    <n v="39810.75"/>
    <s v="CC105"/>
  </r>
  <r>
    <x v="90"/>
    <x v="0"/>
    <x v="2"/>
    <x v="5"/>
    <n v="38086"/>
    <x v="1"/>
    <n v="4570.32"/>
    <n v="42656.32"/>
    <s v="CC103"/>
  </r>
  <r>
    <x v="91"/>
    <x v="4"/>
    <x v="7"/>
    <x v="7"/>
    <n v="34423"/>
    <x v="1"/>
    <n v="4130.76"/>
    <n v="38553.760000000002"/>
    <s v="CC103"/>
  </r>
  <r>
    <x v="92"/>
    <x v="5"/>
    <x v="0"/>
    <x v="8"/>
    <n v="35674"/>
    <x v="1"/>
    <n v="4280.88"/>
    <n v="39954.879999999997"/>
    <s v="CC103"/>
  </r>
  <r>
    <x v="88"/>
    <x v="0"/>
    <x v="5"/>
    <x v="4"/>
    <n v="9131"/>
    <x v="0"/>
    <n v="456.55"/>
    <n v="9587.5499999999993"/>
    <s v="CC103"/>
  </r>
  <r>
    <x v="93"/>
    <x v="3"/>
    <x v="1"/>
    <x v="0"/>
    <n v="18259"/>
    <x v="2"/>
    <n v="3286.62"/>
    <n v="21545.62"/>
    <s v="CC102"/>
  </r>
  <r>
    <x v="94"/>
    <x v="4"/>
    <x v="4"/>
    <x v="0"/>
    <n v="12216"/>
    <x v="1"/>
    <n v="1465.92"/>
    <n v="13681.92"/>
    <s v="CC103"/>
  </r>
  <r>
    <x v="95"/>
    <x v="2"/>
    <x v="4"/>
    <x v="1"/>
    <n v="4455"/>
    <x v="1"/>
    <n v="534.6"/>
    <n v="4989.6000000000004"/>
    <s v="CC105"/>
  </r>
  <r>
    <x v="96"/>
    <x v="2"/>
    <x v="7"/>
    <x v="0"/>
    <n v="47765"/>
    <x v="1"/>
    <n v="5731.8"/>
    <n v="53496.800000000003"/>
    <s v="CC103"/>
  </r>
  <r>
    <x v="97"/>
    <x v="2"/>
    <x v="9"/>
    <x v="4"/>
    <n v="27607"/>
    <x v="1"/>
    <n v="3312.84"/>
    <n v="30919.84"/>
    <s v="CC105"/>
  </r>
  <r>
    <x v="98"/>
    <x v="7"/>
    <x v="4"/>
    <x v="4"/>
    <n v="42658"/>
    <x v="2"/>
    <n v="7678.44"/>
    <n v="50336.44"/>
    <s v="CC105"/>
  </r>
  <r>
    <x v="93"/>
    <x v="4"/>
    <x v="4"/>
    <x v="7"/>
    <n v="48831"/>
    <x v="1"/>
    <n v="5859.72"/>
    <n v="54690.720000000001"/>
    <s v="CC106"/>
  </r>
  <r>
    <x v="99"/>
    <x v="6"/>
    <x v="7"/>
    <x v="0"/>
    <n v="21416"/>
    <x v="2"/>
    <n v="3854.88"/>
    <n v="25270.880000000001"/>
    <s v="CC101"/>
  </r>
  <r>
    <x v="100"/>
    <x v="2"/>
    <x v="7"/>
    <x v="8"/>
    <n v="23296"/>
    <x v="1"/>
    <n v="2795.52"/>
    <n v="26091.52"/>
    <s v="CC103"/>
  </r>
  <r>
    <x v="101"/>
    <x v="5"/>
    <x v="4"/>
    <x v="7"/>
    <n v="26915"/>
    <x v="2"/>
    <n v="4844.7"/>
    <n v="31759.7"/>
    <s v="CC104"/>
  </r>
  <r>
    <x v="102"/>
    <x v="5"/>
    <x v="4"/>
    <x v="5"/>
    <n v="33993"/>
    <x v="1"/>
    <n v="4079.16"/>
    <n v="38072.160000000003"/>
    <s v="CC104"/>
  </r>
  <r>
    <x v="86"/>
    <x v="2"/>
    <x v="2"/>
    <x v="8"/>
    <n v="1101"/>
    <x v="2"/>
    <n v="198.18"/>
    <n v="1299.18"/>
    <s v="CC104"/>
  </r>
  <r>
    <x v="103"/>
    <x v="6"/>
    <x v="9"/>
    <x v="8"/>
    <n v="18846"/>
    <x v="0"/>
    <n v="942.3"/>
    <n v="19788.3"/>
    <s v="CC102"/>
  </r>
  <r>
    <x v="104"/>
    <x v="2"/>
    <x v="8"/>
    <x v="3"/>
    <n v="45655"/>
    <x v="0"/>
    <n v="2282.75"/>
    <n v="47937.75"/>
    <s v="CC101"/>
  </r>
  <r>
    <x v="105"/>
    <x v="0"/>
    <x v="7"/>
    <x v="7"/>
    <n v="31320"/>
    <x v="0"/>
    <n v="1566"/>
    <n v="32886"/>
    <s v="CC104"/>
  </r>
  <r>
    <x v="106"/>
    <x v="4"/>
    <x v="1"/>
    <x v="6"/>
    <n v="34620"/>
    <x v="2"/>
    <n v="6231.6"/>
    <n v="40851.599999999999"/>
    <s v="CC101"/>
  </r>
  <r>
    <x v="107"/>
    <x v="2"/>
    <x v="5"/>
    <x v="5"/>
    <n v="634"/>
    <x v="0"/>
    <n v="31.7"/>
    <n v="665.7"/>
    <s v="CC106"/>
  </r>
  <r>
    <x v="108"/>
    <x v="5"/>
    <x v="5"/>
    <x v="2"/>
    <n v="46924"/>
    <x v="1"/>
    <n v="5630.88"/>
    <n v="52554.879999999997"/>
    <s v="CC106"/>
  </r>
  <r>
    <x v="109"/>
    <x v="7"/>
    <x v="0"/>
    <x v="5"/>
    <n v="27976"/>
    <x v="0"/>
    <n v="1398.8"/>
    <n v="29374.799999999999"/>
    <s v="CC101"/>
  </r>
  <r>
    <x v="110"/>
    <x v="5"/>
    <x v="6"/>
    <x v="6"/>
    <n v="5784"/>
    <x v="2"/>
    <n v="1041.1199999999999"/>
    <n v="6825.12"/>
    <s v="CC102"/>
  </r>
  <r>
    <x v="42"/>
    <x v="5"/>
    <x v="7"/>
    <x v="9"/>
    <n v="47820"/>
    <x v="0"/>
    <n v="2391"/>
    <n v="50211"/>
    <s v="CC103"/>
  </r>
  <r>
    <x v="111"/>
    <x v="1"/>
    <x v="9"/>
    <x v="2"/>
    <n v="20343"/>
    <x v="2"/>
    <n v="3661.74"/>
    <n v="24004.739999999998"/>
    <s v="CC104"/>
  </r>
  <r>
    <x v="112"/>
    <x v="1"/>
    <x v="6"/>
    <x v="6"/>
    <n v="43516"/>
    <x v="0"/>
    <n v="2175.8000000000002"/>
    <n v="45691.8"/>
    <s v="CC106"/>
  </r>
  <r>
    <x v="113"/>
    <x v="4"/>
    <x v="5"/>
    <x v="0"/>
    <n v="40191"/>
    <x v="1"/>
    <n v="4822.92"/>
    <n v="45013.919999999998"/>
    <s v="CC103"/>
  </r>
  <r>
    <x v="114"/>
    <x v="6"/>
    <x v="4"/>
    <x v="2"/>
    <n v="6504"/>
    <x v="1"/>
    <n v="780.48"/>
    <n v="7284.48"/>
    <s v="CC104"/>
  </r>
  <r>
    <x v="115"/>
    <x v="6"/>
    <x v="4"/>
    <x v="3"/>
    <n v="32401"/>
    <x v="0"/>
    <n v="1620.05"/>
    <n v="34021.050000000003"/>
    <s v="CC103"/>
  </r>
  <r>
    <x v="116"/>
    <x v="4"/>
    <x v="3"/>
    <x v="0"/>
    <n v="27877"/>
    <x v="2"/>
    <n v="5017.8599999999997"/>
    <n v="32894.86"/>
    <s v="CC106"/>
  </r>
  <r>
    <x v="117"/>
    <x v="7"/>
    <x v="5"/>
    <x v="4"/>
    <n v="8735"/>
    <x v="0"/>
    <n v="436.75"/>
    <n v="9171.75"/>
    <s v="CC102"/>
  </r>
  <r>
    <x v="46"/>
    <x v="2"/>
    <x v="5"/>
    <x v="5"/>
    <n v="10455"/>
    <x v="0"/>
    <n v="522.75"/>
    <n v="10977.75"/>
    <s v="CC102"/>
  </r>
  <r>
    <x v="118"/>
    <x v="1"/>
    <x v="8"/>
    <x v="6"/>
    <n v="20620"/>
    <x v="1"/>
    <n v="2474.4"/>
    <n v="23094.400000000001"/>
    <s v="CC105"/>
  </r>
  <r>
    <x v="119"/>
    <x v="2"/>
    <x v="5"/>
    <x v="4"/>
    <n v="10294"/>
    <x v="2"/>
    <n v="1852.92"/>
    <n v="12146.92"/>
    <s v="CC105"/>
  </r>
  <r>
    <x v="120"/>
    <x v="7"/>
    <x v="6"/>
    <x v="2"/>
    <n v="49610"/>
    <x v="0"/>
    <n v="2480.5"/>
    <n v="52090.5"/>
    <s v="CC103"/>
  </r>
  <r>
    <x v="121"/>
    <x v="0"/>
    <x v="2"/>
    <x v="9"/>
    <n v="21327"/>
    <x v="1"/>
    <n v="2559.2399999999998"/>
    <n v="23886.239999999998"/>
    <s v="CC101"/>
  </r>
  <r>
    <x v="122"/>
    <x v="3"/>
    <x v="0"/>
    <x v="5"/>
    <n v="14446"/>
    <x v="0"/>
    <n v="722.3"/>
    <n v="15168.3"/>
    <s v="CC101"/>
  </r>
  <r>
    <x v="123"/>
    <x v="1"/>
    <x v="5"/>
    <x v="5"/>
    <n v="30565"/>
    <x v="2"/>
    <n v="5501.7"/>
    <n v="36066.699999999997"/>
    <s v="CC103"/>
  </r>
  <r>
    <x v="124"/>
    <x v="1"/>
    <x v="9"/>
    <x v="4"/>
    <n v="23681"/>
    <x v="0"/>
    <n v="1184.05"/>
    <n v="24865.05"/>
    <s v="CC106"/>
  </r>
  <r>
    <x v="125"/>
    <x v="3"/>
    <x v="2"/>
    <x v="9"/>
    <n v="27758"/>
    <x v="1"/>
    <n v="3330.96"/>
    <n v="31088.959999999999"/>
    <s v="CC104"/>
  </r>
  <r>
    <x v="126"/>
    <x v="7"/>
    <x v="8"/>
    <x v="5"/>
    <n v="19362"/>
    <x v="0"/>
    <n v="968.1"/>
    <n v="20330.099999999999"/>
    <s v="CC106"/>
  </r>
  <r>
    <x v="127"/>
    <x v="4"/>
    <x v="7"/>
    <x v="4"/>
    <n v="10142"/>
    <x v="0"/>
    <n v="507.1"/>
    <n v="10649.1"/>
    <s v="CC104"/>
  </r>
  <r>
    <x v="128"/>
    <x v="3"/>
    <x v="0"/>
    <x v="0"/>
    <n v="42983"/>
    <x v="2"/>
    <n v="7736.94"/>
    <n v="50719.94"/>
    <s v="CC104"/>
  </r>
  <r>
    <x v="129"/>
    <x v="3"/>
    <x v="4"/>
    <x v="3"/>
    <n v="3540"/>
    <x v="2"/>
    <n v="637.20000000000005"/>
    <n v="4177.2"/>
    <s v="CC102"/>
  </r>
  <r>
    <x v="130"/>
    <x v="4"/>
    <x v="4"/>
    <x v="1"/>
    <n v="20297"/>
    <x v="1"/>
    <n v="2435.64"/>
    <n v="22732.639999999999"/>
    <s v="CC101"/>
  </r>
  <r>
    <x v="131"/>
    <x v="2"/>
    <x v="8"/>
    <x v="9"/>
    <n v="19397"/>
    <x v="1"/>
    <n v="2327.64"/>
    <n v="21724.639999999999"/>
    <s v="CC101"/>
  </r>
  <r>
    <x v="58"/>
    <x v="6"/>
    <x v="3"/>
    <x v="3"/>
    <n v="27928"/>
    <x v="2"/>
    <n v="5027.04"/>
    <n v="32955.040000000001"/>
    <s v="CC105"/>
  </r>
  <r>
    <x v="132"/>
    <x v="3"/>
    <x v="3"/>
    <x v="6"/>
    <n v="20111"/>
    <x v="0"/>
    <n v="1005.55"/>
    <n v="21116.55"/>
    <s v="CC102"/>
  </r>
  <r>
    <x v="133"/>
    <x v="7"/>
    <x v="7"/>
    <x v="0"/>
    <n v="814"/>
    <x v="1"/>
    <n v="97.68"/>
    <n v="911.68000000000006"/>
    <s v="CC102"/>
  </r>
  <r>
    <x v="134"/>
    <x v="4"/>
    <x v="5"/>
    <x v="4"/>
    <n v="45489"/>
    <x v="1"/>
    <n v="5458.68"/>
    <n v="50947.68"/>
    <s v="CC101"/>
  </r>
  <r>
    <x v="135"/>
    <x v="3"/>
    <x v="2"/>
    <x v="5"/>
    <n v="11339"/>
    <x v="2"/>
    <n v="2041.02"/>
    <n v="13380.02"/>
    <s v="CC106"/>
  </r>
  <r>
    <x v="136"/>
    <x v="5"/>
    <x v="1"/>
    <x v="0"/>
    <n v="45314"/>
    <x v="0"/>
    <n v="2265.6999999999998"/>
    <n v="47579.7"/>
    <s v="CC103"/>
  </r>
  <r>
    <x v="137"/>
    <x v="6"/>
    <x v="5"/>
    <x v="9"/>
    <n v="38815"/>
    <x v="2"/>
    <n v="6986.7"/>
    <n v="45801.7"/>
    <s v="CC106"/>
  </r>
  <r>
    <x v="138"/>
    <x v="4"/>
    <x v="1"/>
    <x v="2"/>
    <n v="18958"/>
    <x v="1"/>
    <n v="2274.96"/>
    <n v="21232.959999999999"/>
    <s v="CC101"/>
  </r>
  <r>
    <x v="139"/>
    <x v="2"/>
    <x v="7"/>
    <x v="9"/>
    <n v="39107"/>
    <x v="2"/>
    <n v="7039.26"/>
    <n v="46146.26"/>
    <s v="CC104"/>
  </r>
  <r>
    <x v="140"/>
    <x v="0"/>
    <x v="2"/>
    <x v="9"/>
    <n v="35583"/>
    <x v="2"/>
    <n v="6404.94"/>
    <n v="41987.94"/>
    <s v="CC105"/>
  </r>
  <r>
    <x v="141"/>
    <x v="2"/>
    <x v="9"/>
    <x v="5"/>
    <n v="42417"/>
    <x v="0"/>
    <n v="2120.85"/>
    <n v="44537.85"/>
    <s v="CC104"/>
  </r>
  <r>
    <x v="142"/>
    <x v="7"/>
    <x v="8"/>
    <x v="6"/>
    <n v="37165"/>
    <x v="0"/>
    <n v="1858.25"/>
    <n v="39023.25"/>
    <s v="CC103"/>
  </r>
  <r>
    <x v="143"/>
    <x v="1"/>
    <x v="5"/>
    <x v="3"/>
    <n v="2702"/>
    <x v="0"/>
    <n v="135.1"/>
    <n v="2837.1"/>
    <s v="CC104"/>
  </r>
  <r>
    <x v="144"/>
    <x v="0"/>
    <x v="1"/>
    <x v="6"/>
    <n v="9308"/>
    <x v="2"/>
    <n v="1675.44"/>
    <n v="10983.44"/>
    <s v="CC104"/>
  </r>
  <r>
    <x v="145"/>
    <x v="0"/>
    <x v="7"/>
    <x v="4"/>
    <n v="43121"/>
    <x v="2"/>
    <n v="7761.78"/>
    <n v="50882.78"/>
    <s v="CC102"/>
  </r>
  <r>
    <x v="39"/>
    <x v="6"/>
    <x v="2"/>
    <x v="7"/>
    <n v="45415"/>
    <x v="1"/>
    <n v="5449.8"/>
    <n v="50864.800000000003"/>
    <s v="CC101"/>
  </r>
  <r>
    <x v="146"/>
    <x v="2"/>
    <x v="6"/>
    <x v="2"/>
    <n v="3056"/>
    <x v="0"/>
    <n v="152.80000000000001"/>
    <n v="3208.8"/>
    <s v="CC106"/>
  </r>
  <r>
    <x v="147"/>
    <x v="5"/>
    <x v="2"/>
    <x v="8"/>
    <n v="19081"/>
    <x v="1"/>
    <n v="2289.7199999999998"/>
    <n v="21370.720000000001"/>
    <s v="CC101"/>
  </r>
  <r>
    <x v="148"/>
    <x v="5"/>
    <x v="6"/>
    <x v="1"/>
    <n v="28613"/>
    <x v="2"/>
    <n v="5150.34"/>
    <n v="33763.339999999997"/>
    <s v="CC105"/>
  </r>
  <r>
    <x v="149"/>
    <x v="0"/>
    <x v="2"/>
    <x v="6"/>
    <n v="27823"/>
    <x v="1"/>
    <n v="3338.76"/>
    <n v="31161.760000000002"/>
    <s v="CC102"/>
  </r>
  <r>
    <x v="150"/>
    <x v="2"/>
    <x v="9"/>
    <x v="9"/>
    <n v="2503"/>
    <x v="2"/>
    <n v="450.54"/>
    <n v="2953.54"/>
    <s v="CC106"/>
  </r>
  <r>
    <x v="38"/>
    <x v="2"/>
    <x v="0"/>
    <x v="6"/>
    <n v="42207"/>
    <x v="2"/>
    <n v="7597.26"/>
    <n v="49804.26"/>
    <s v="CC104"/>
  </r>
  <r>
    <x v="151"/>
    <x v="4"/>
    <x v="8"/>
    <x v="6"/>
    <n v="25187"/>
    <x v="0"/>
    <n v="1259.3499999999999"/>
    <n v="26446.35"/>
    <s v="CC105"/>
  </r>
  <r>
    <x v="121"/>
    <x v="5"/>
    <x v="8"/>
    <x v="4"/>
    <n v="4136"/>
    <x v="1"/>
    <n v="496.32"/>
    <n v="4632.32"/>
    <s v="CC101"/>
  </r>
  <r>
    <x v="152"/>
    <x v="4"/>
    <x v="3"/>
    <x v="9"/>
    <n v="20019"/>
    <x v="0"/>
    <n v="1000.95"/>
    <n v="21019.95"/>
    <s v="CC106"/>
  </r>
  <r>
    <x v="153"/>
    <x v="4"/>
    <x v="2"/>
    <x v="8"/>
    <n v="12755"/>
    <x v="1"/>
    <n v="1530.6"/>
    <n v="14285.6"/>
    <s v="CC101"/>
  </r>
  <r>
    <x v="154"/>
    <x v="4"/>
    <x v="3"/>
    <x v="6"/>
    <n v="42414"/>
    <x v="1"/>
    <n v="5089.68"/>
    <n v="47503.68"/>
    <s v="CC106"/>
  </r>
  <r>
    <x v="125"/>
    <x v="0"/>
    <x v="7"/>
    <x v="7"/>
    <n v="28847"/>
    <x v="1"/>
    <n v="3461.64"/>
    <n v="32308.639999999999"/>
    <s v="CC106"/>
  </r>
  <r>
    <x v="132"/>
    <x v="7"/>
    <x v="3"/>
    <x v="3"/>
    <n v="14347"/>
    <x v="2"/>
    <n v="2582.46"/>
    <n v="16929.46"/>
    <s v="CC105"/>
  </r>
  <r>
    <x v="155"/>
    <x v="6"/>
    <x v="0"/>
    <x v="2"/>
    <n v="22916"/>
    <x v="2"/>
    <n v="4124.88"/>
    <n v="27040.880000000001"/>
    <s v="CC102"/>
  </r>
  <r>
    <x v="15"/>
    <x v="1"/>
    <x v="7"/>
    <x v="4"/>
    <n v="45920"/>
    <x v="1"/>
    <n v="5510.4"/>
    <n v="51430.400000000001"/>
    <s v="CC104"/>
  </r>
  <r>
    <x v="156"/>
    <x v="6"/>
    <x v="4"/>
    <x v="9"/>
    <n v="29020"/>
    <x v="1"/>
    <n v="3482.4"/>
    <n v="32502.400000000001"/>
    <s v="CC104"/>
  </r>
  <r>
    <x v="157"/>
    <x v="0"/>
    <x v="5"/>
    <x v="2"/>
    <n v="22436"/>
    <x v="1"/>
    <n v="2692.32"/>
    <n v="25128.32"/>
    <s v="CC104"/>
  </r>
  <r>
    <x v="136"/>
    <x v="5"/>
    <x v="8"/>
    <x v="4"/>
    <n v="27297"/>
    <x v="1"/>
    <n v="3275.64"/>
    <n v="30572.639999999999"/>
    <s v="CC103"/>
  </r>
  <r>
    <x v="158"/>
    <x v="2"/>
    <x v="4"/>
    <x v="7"/>
    <n v="9885"/>
    <x v="2"/>
    <n v="1779.3"/>
    <n v="11664.3"/>
    <s v="CC101"/>
  </r>
  <r>
    <x v="35"/>
    <x v="0"/>
    <x v="8"/>
    <x v="1"/>
    <n v="25579"/>
    <x v="1"/>
    <n v="3069.48"/>
    <n v="28648.48"/>
    <s v="CC101"/>
  </r>
  <r>
    <x v="159"/>
    <x v="3"/>
    <x v="6"/>
    <x v="9"/>
    <n v="48245"/>
    <x v="0"/>
    <n v="2412.25"/>
    <n v="50657.25"/>
    <s v="CC105"/>
  </r>
  <r>
    <x v="160"/>
    <x v="4"/>
    <x v="9"/>
    <x v="3"/>
    <n v="27799"/>
    <x v="0"/>
    <n v="1389.95"/>
    <n v="29188.95"/>
    <s v="CC101"/>
  </r>
  <r>
    <x v="161"/>
    <x v="3"/>
    <x v="6"/>
    <x v="5"/>
    <n v="30435"/>
    <x v="0"/>
    <n v="1521.75"/>
    <n v="31956.75"/>
    <s v="CC106"/>
  </r>
  <r>
    <x v="12"/>
    <x v="3"/>
    <x v="1"/>
    <x v="8"/>
    <n v="22917"/>
    <x v="1"/>
    <n v="2750.04"/>
    <n v="25667.040000000001"/>
    <s v="CC105"/>
  </r>
  <r>
    <x v="103"/>
    <x v="6"/>
    <x v="0"/>
    <x v="2"/>
    <n v="2261"/>
    <x v="2"/>
    <n v="406.98"/>
    <n v="2667.98"/>
    <s v="CC102"/>
  </r>
  <r>
    <x v="162"/>
    <x v="2"/>
    <x v="7"/>
    <x v="8"/>
    <n v="36952"/>
    <x v="1"/>
    <n v="4434.24"/>
    <n v="41386.239999999998"/>
    <s v="CC103"/>
  </r>
  <r>
    <x v="163"/>
    <x v="4"/>
    <x v="6"/>
    <x v="4"/>
    <n v="11359"/>
    <x v="0"/>
    <n v="567.95000000000005"/>
    <n v="11926.95"/>
    <s v="CC103"/>
  </r>
  <r>
    <x v="164"/>
    <x v="4"/>
    <x v="8"/>
    <x v="6"/>
    <n v="37548"/>
    <x v="0"/>
    <n v="1877.4"/>
    <n v="39425.4"/>
    <s v="CC105"/>
  </r>
  <r>
    <x v="94"/>
    <x v="3"/>
    <x v="1"/>
    <x v="9"/>
    <n v="46143"/>
    <x v="1"/>
    <n v="5537.16"/>
    <n v="51680.160000000003"/>
    <s v="CC105"/>
  </r>
  <r>
    <x v="165"/>
    <x v="2"/>
    <x v="6"/>
    <x v="0"/>
    <n v="17584"/>
    <x v="1"/>
    <n v="2110.08"/>
    <n v="19694.080000000002"/>
    <s v="CC104"/>
  </r>
  <r>
    <x v="166"/>
    <x v="1"/>
    <x v="4"/>
    <x v="9"/>
    <n v="29729"/>
    <x v="2"/>
    <n v="5351.22"/>
    <n v="35080.22"/>
    <s v="CC102"/>
  </r>
  <r>
    <x v="167"/>
    <x v="4"/>
    <x v="6"/>
    <x v="3"/>
    <n v="20480"/>
    <x v="2"/>
    <n v="3686.4"/>
    <n v="24166.400000000001"/>
    <s v="CC105"/>
  </r>
  <r>
    <x v="168"/>
    <x v="6"/>
    <x v="5"/>
    <x v="9"/>
    <n v="49562"/>
    <x v="2"/>
    <n v="8921.16"/>
    <n v="58483.16"/>
    <s v="CC101"/>
  </r>
  <r>
    <x v="122"/>
    <x v="7"/>
    <x v="6"/>
    <x v="1"/>
    <n v="33153"/>
    <x v="2"/>
    <n v="5967.54"/>
    <n v="39120.54"/>
    <s v="CC103"/>
  </r>
  <r>
    <x v="78"/>
    <x v="1"/>
    <x v="4"/>
    <x v="0"/>
    <n v="31309"/>
    <x v="2"/>
    <n v="5635.62"/>
    <n v="36944.620000000003"/>
    <s v="CC102"/>
  </r>
  <r>
    <x v="169"/>
    <x v="1"/>
    <x v="5"/>
    <x v="7"/>
    <n v="9624"/>
    <x v="1"/>
    <n v="1154.8800000000001"/>
    <n v="10778.880000000001"/>
    <s v="CC106"/>
  </r>
  <r>
    <x v="170"/>
    <x v="4"/>
    <x v="9"/>
    <x v="8"/>
    <n v="33189"/>
    <x v="1"/>
    <n v="3982.68"/>
    <n v="37171.68"/>
    <s v="CC102"/>
  </r>
  <r>
    <x v="171"/>
    <x v="5"/>
    <x v="8"/>
    <x v="6"/>
    <n v="3197"/>
    <x v="0"/>
    <n v="159.85"/>
    <n v="3356.85"/>
    <s v="CC104"/>
  </r>
  <r>
    <x v="172"/>
    <x v="1"/>
    <x v="3"/>
    <x v="8"/>
    <n v="18769"/>
    <x v="2"/>
    <n v="3378.42"/>
    <n v="22147.42"/>
    <s v="CC102"/>
  </r>
  <r>
    <x v="173"/>
    <x v="3"/>
    <x v="7"/>
    <x v="5"/>
    <n v="29029"/>
    <x v="1"/>
    <n v="3483.48"/>
    <n v="32512.48"/>
    <s v="CC105"/>
  </r>
  <r>
    <x v="174"/>
    <x v="7"/>
    <x v="0"/>
    <x v="4"/>
    <n v="24989"/>
    <x v="1"/>
    <n v="2998.68"/>
    <n v="27987.68"/>
    <s v="CC103"/>
  </r>
  <r>
    <x v="175"/>
    <x v="6"/>
    <x v="5"/>
    <x v="9"/>
    <n v="20141"/>
    <x v="1"/>
    <n v="2416.92"/>
    <n v="22557.919999999998"/>
    <s v="CC103"/>
  </r>
  <r>
    <x v="164"/>
    <x v="3"/>
    <x v="9"/>
    <x v="0"/>
    <n v="1604"/>
    <x v="2"/>
    <n v="288.72000000000003"/>
    <n v="1892.72"/>
    <s v="CC102"/>
  </r>
  <r>
    <x v="30"/>
    <x v="5"/>
    <x v="9"/>
    <x v="8"/>
    <n v="41421"/>
    <x v="2"/>
    <n v="7455.78"/>
    <n v="48876.78"/>
    <s v="CC105"/>
  </r>
  <r>
    <x v="176"/>
    <x v="1"/>
    <x v="1"/>
    <x v="3"/>
    <n v="12045"/>
    <x v="1"/>
    <n v="1445.4"/>
    <n v="13490.4"/>
    <s v="CC105"/>
  </r>
  <r>
    <x v="177"/>
    <x v="2"/>
    <x v="4"/>
    <x v="7"/>
    <n v="7690"/>
    <x v="0"/>
    <n v="384.5"/>
    <n v="8074.5"/>
    <s v="CC103"/>
  </r>
  <r>
    <x v="178"/>
    <x v="2"/>
    <x v="7"/>
    <x v="1"/>
    <n v="584"/>
    <x v="0"/>
    <n v="29.2"/>
    <n v="613.20000000000005"/>
    <s v="CC105"/>
  </r>
  <r>
    <x v="179"/>
    <x v="3"/>
    <x v="0"/>
    <x v="1"/>
    <n v="9970"/>
    <x v="2"/>
    <n v="1794.6"/>
    <n v="11764.6"/>
    <s v="CC102"/>
  </r>
  <r>
    <x v="180"/>
    <x v="2"/>
    <x v="3"/>
    <x v="9"/>
    <n v="16508"/>
    <x v="1"/>
    <n v="1980.96"/>
    <n v="18488.96"/>
    <s v="CC106"/>
  </r>
  <r>
    <x v="181"/>
    <x v="5"/>
    <x v="8"/>
    <x v="1"/>
    <n v="24737"/>
    <x v="2"/>
    <n v="4452.66"/>
    <n v="29189.66"/>
    <s v="CC106"/>
  </r>
  <r>
    <x v="182"/>
    <x v="4"/>
    <x v="0"/>
    <x v="2"/>
    <n v="10245"/>
    <x v="1"/>
    <n v="1229.4000000000001"/>
    <n v="11474.4"/>
    <s v="CC104"/>
  </r>
  <r>
    <x v="183"/>
    <x v="6"/>
    <x v="8"/>
    <x v="1"/>
    <n v="16662"/>
    <x v="1"/>
    <n v="1999.44"/>
    <n v="18661.439999999999"/>
    <s v="CC101"/>
  </r>
  <r>
    <x v="14"/>
    <x v="4"/>
    <x v="8"/>
    <x v="9"/>
    <n v="12826"/>
    <x v="0"/>
    <n v="641.29999999999995"/>
    <n v="13467.3"/>
    <s v="CC103"/>
  </r>
  <r>
    <x v="128"/>
    <x v="0"/>
    <x v="6"/>
    <x v="3"/>
    <n v="39087"/>
    <x v="0"/>
    <n v="1954.35"/>
    <n v="41041.35"/>
    <s v="CC105"/>
  </r>
  <r>
    <x v="184"/>
    <x v="4"/>
    <x v="6"/>
    <x v="4"/>
    <n v="16654"/>
    <x v="2"/>
    <n v="2997.72"/>
    <n v="19651.72"/>
    <s v="CC105"/>
  </r>
  <r>
    <x v="133"/>
    <x v="0"/>
    <x v="3"/>
    <x v="1"/>
    <n v="24196"/>
    <x v="2"/>
    <n v="4355.28"/>
    <n v="28551.279999999999"/>
    <s v="CC102"/>
  </r>
  <r>
    <x v="185"/>
    <x v="2"/>
    <x v="3"/>
    <x v="5"/>
    <n v="48219"/>
    <x v="1"/>
    <n v="5786.28"/>
    <n v="54005.279999999999"/>
    <s v="CC105"/>
  </r>
  <r>
    <x v="186"/>
    <x v="4"/>
    <x v="1"/>
    <x v="1"/>
    <n v="47602"/>
    <x v="0"/>
    <n v="2380.1"/>
    <n v="49982.1"/>
    <s v="CC103"/>
  </r>
  <r>
    <x v="187"/>
    <x v="5"/>
    <x v="8"/>
    <x v="9"/>
    <n v="14822"/>
    <x v="2"/>
    <n v="2667.96"/>
    <n v="17489.96"/>
    <s v="CC106"/>
  </r>
  <r>
    <x v="58"/>
    <x v="0"/>
    <x v="8"/>
    <x v="5"/>
    <n v="20604"/>
    <x v="2"/>
    <n v="3708.72"/>
    <n v="24312.720000000001"/>
    <s v="CC101"/>
  </r>
  <r>
    <x v="188"/>
    <x v="2"/>
    <x v="7"/>
    <x v="4"/>
    <n v="49114"/>
    <x v="1"/>
    <n v="5893.68"/>
    <n v="55007.68"/>
    <s v="CC104"/>
  </r>
  <r>
    <x v="189"/>
    <x v="5"/>
    <x v="3"/>
    <x v="9"/>
    <n v="23424"/>
    <x v="2"/>
    <n v="4216.32"/>
    <n v="27640.32"/>
    <s v="CC103"/>
  </r>
  <r>
    <x v="190"/>
    <x v="0"/>
    <x v="7"/>
    <x v="5"/>
    <n v="17293"/>
    <x v="2"/>
    <n v="3112.74"/>
    <n v="20405.739999999998"/>
    <s v="CC105"/>
  </r>
  <r>
    <x v="191"/>
    <x v="4"/>
    <x v="2"/>
    <x v="9"/>
    <n v="3935"/>
    <x v="0"/>
    <n v="196.75"/>
    <n v="4131.75"/>
    <s v="CC105"/>
  </r>
  <r>
    <x v="192"/>
    <x v="0"/>
    <x v="5"/>
    <x v="6"/>
    <n v="5258"/>
    <x v="1"/>
    <n v="630.96"/>
    <n v="5888.96"/>
    <s v="CC106"/>
  </r>
  <r>
    <x v="193"/>
    <x v="5"/>
    <x v="3"/>
    <x v="0"/>
    <n v="24012"/>
    <x v="0"/>
    <n v="1200.5999999999999"/>
    <n v="25212.6"/>
    <s v="CC103"/>
  </r>
  <r>
    <x v="162"/>
    <x v="7"/>
    <x v="2"/>
    <x v="3"/>
    <n v="7850"/>
    <x v="1"/>
    <n v="942"/>
    <n v="8792"/>
    <s v="CC106"/>
  </r>
  <r>
    <x v="194"/>
    <x v="2"/>
    <x v="8"/>
    <x v="5"/>
    <n v="39065"/>
    <x v="2"/>
    <n v="7031.7"/>
    <n v="46096.7"/>
    <s v="CC106"/>
  </r>
  <r>
    <x v="195"/>
    <x v="3"/>
    <x v="3"/>
    <x v="8"/>
    <n v="1072"/>
    <x v="1"/>
    <n v="128.63999999999999"/>
    <n v="1200.6399999999999"/>
    <s v="CC103"/>
  </r>
  <r>
    <x v="119"/>
    <x v="0"/>
    <x v="9"/>
    <x v="7"/>
    <n v="32615"/>
    <x v="1"/>
    <n v="3913.8"/>
    <n v="36528.800000000003"/>
    <s v="CC106"/>
  </r>
  <r>
    <x v="196"/>
    <x v="5"/>
    <x v="6"/>
    <x v="2"/>
    <n v="8482"/>
    <x v="0"/>
    <n v="424.1"/>
    <n v="8906.1"/>
    <s v="CC103"/>
  </r>
  <r>
    <x v="197"/>
    <x v="7"/>
    <x v="9"/>
    <x v="3"/>
    <n v="12225"/>
    <x v="2"/>
    <n v="2200.5"/>
    <n v="14425.5"/>
    <s v="CC101"/>
  </r>
  <r>
    <x v="198"/>
    <x v="2"/>
    <x v="0"/>
    <x v="2"/>
    <n v="15960"/>
    <x v="2"/>
    <n v="2872.8"/>
    <n v="18832.8"/>
    <s v="CC102"/>
  </r>
  <r>
    <x v="199"/>
    <x v="2"/>
    <x v="4"/>
    <x v="0"/>
    <n v="49398"/>
    <x v="0"/>
    <n v="2469.9"/>
    <n v="51867.9"/>
    <s v="CC101"/>
  </r>
  <r>
    <x v="0"/>
    <x v="6"/>
    <x v="3"/>
    <x v="0"/>
    <n v="42462"/>
    <x v="1"/>
    <n v="5095.4399999999996"/>
    <n v="47557.440000000002"/>
    <s v="CC103"/>
  </r>
  <r>
    <x v="200"/>
    <x v="4"/>
    <x v="4"/>
    <x v="1"/>
    <n v="37172"/>
    <x v="2"/>
    <n v="6690.96"/>
    <n v="43862.96"/>
    <s v="CC106"/>
  </r>
  <r>
    <x v="201"/>
    <x v="4"/>
    <x v="4"/>
    <x v="8"/>
    <n v="47700"/>
    <x v="1"/>
    <n v="5724"/>
    <n v="53424"/>
    <s v="CC104"/>
  </r>
  <r>
    <x v="202"/>
    <x v="4"/>
    <x v="5"/>
    <x v="8"/>
    <n v="39377"/>
    <x v="2"/>
    <n v="7087.86"/>
    <n v="46464.86"/>
    <s v="CC103"/>
  </r>
  <r>
    <x v="203"/>
    <x v="4"/>
    <x v="8"/>
    <x v="7"/>
    <n v="27452"/>
    <x v="2"/>
    <n v="4941.3599999999997"/>
    <n v="32393.360000000001"/>
    <s v="CC104"/>
  </r>
  <r>
    <x v="204"/>
    <x v="7"/>
    <x v="9"/>
    <x v="0"/>
    <n v="28121"/>
    <x v="2"/>
    <n v="5061.78"/>
    <n v="33182.78"/>
    <s v="CC105"/>
  </r>
  <r>
    <x v="46"/>
    <x v="7"/>
    <x v="8"/>
    <x v="5"/>
    <n v="8784"/>
    <x v="0"/>
    <n v="439.2"/>
    <n v="9223.2000000000007"/>
    <s v="CC101"/>
  </r>
  <r>
    <x v="205"/>
    <x v="2"/>
    <x v="3"/>
    <x v="2"/>
    <n v="36243"/>
    <x v="0"/>
    <n v="1812.15"/>
    <n v="38055.15"/>
    <s v="CC101"/>
  </r>
  <r>
    <x v="206"/>
    <x v="3"/>
    <x v="8"/>
    <x v="4"/>
    <n v="20840"/>
    <x v="1"/>
    <n v="2500.8000000000002"/>
    <n v="23340.799999999999"/>
    <s v="CC106"/>
  </r>
  <r>
    <x v="207"/>
    <x v="7"/>
    <x v="6"/>
    <x v="2"/>
    <n v="36324"/>
    <x v="2"/>
    <n v="6538.32"/>
    <n v="42862.32"/>
    <s v="CC104"/>
  </r>
  <r>
    <x v="184"/>
    <x v="7"/>
    <x v="4"/>
    <x v="9"/>
    <n v="28509"/>
    <x v="0"/>
    <n v="1425.45"/>
    <n v="29934.45"/>
    <s v="CC102"/>
  </r>
  <r>
    <x v="143"/>
    <x v="3"/>
    <x v="4"/>
    <x v="6"/>
    <n v="24646"/>
    <x v="2"/>
    <n v="4436.28"/>
    <n v="29082.28"/>
    <s v="CC103"/>
  </r>
  <r>
    <x v="208"/>
    <x v="1"/>
    <x v="5"/>
    <x v="4"/>
    <n v="13741"/>
    <x v="1"/>
    <n v="1648.92"/>
    <n v="15389.92"/>
    <s v="CC103"/>
  </r>
  <r>
    <x v="209"/>
    <x v="0"/>
    <x v="0"/>
    <x v="5"/>
    <n v="19807"/>
    <x v="0"/>
    <n v="990.35"/>
    <n v="20797.349999999999"/>
    <s v="CC102"/>
  </r>
  <r>
    <x v="210"/>
    <x v="5"/>
    <x v="0"/>
    <x v="6"/>
    <n v="23254"/>
    <x v="1"/>
    <n v="2790.48"/>
    <n v="26044.48"/>
    <s v="CC101"/>
  </r>
  <r>
    <x v="37"/>
    <x v="3"/>
    <x v="6"/>
    <x v="5"/>
    <n v="17839"/>
    <x v="2"/>
    <n v="3211.02"/>
    <n v="21050.02"/>
    <s v="CC102"/>
  </r>
  <r>
    <x v="211"/>
    <x v="2"/>
    <x v="2"/>
    <x v="4"/>
    <n v="7704"/>
    <x v="0"/>
    <n v="385.2"/>
    <n v="8089.2"/>
    <s v="CC102"/>
  </r>
  <r>
    <x v="212"/>
    <x v="3"/>
    <x v="3"/>
    <x v="7"/>
    <n v="28106"/>
    <x v="0"/>
    <n v="1405.3"/>
    <n v="29511.3"/>
    <s v="CC104"/>
  </r>
  <r>
    <x v="213"/>
    <x v="7"/>
    <x v="7"/>
    <x v="4"/>
    <n v="34233"/>
    <x v="2"/>
    <n v="6161.94"/>
    <n v="40394.94"/>
    <s v="CC104"/>
  </r>
  <r>
    <x v="155"/>
    <x v="3"/>
    <x v="2"/>
    <x v="8"/>
    <n v="4945"/>
    <x v="2"/>
    <n v="890.1"/>
    <n v="5835.1"/>
    <s v="CC102"/>
  </r>
  <r>
    <x v="214"/>
    <x v="3"/>
    <x v="7"/>
    <x v="7"/>
    <n v="27369"/>
    <x v="0"/>
    <n v="1368.45"/>
    <n v="28737.45"/>
    <s v="CC104"/>
  </r>
  <r>
    <x v="215"/>
    <x v="1"/>
    <x v="2"/>
    <x v="2"/>
    <n v="6472"/>
    <x v="1"/>
    <n v="776.64"/>
    <n v="7248.64"/>
    <s v="CC103"/>
  </r>
  <r>
    <x v="216"/>
    <x v="4"/>
    <x v="5"/>
    <x v="8"/>
    <n v="24096"/>
    <x v="0"/>
    <n v="1204.8"/>
    <n v="25300.799999999999"/>
    <s v="CC104"/>
  </r>
  <r>
    <x v="217"/>
    <x v="1"/>
    <x v="3"/>
    <x v="4"/>
    <n v="25527"/>
    <x v="0"/>
    <n v="1276.3499999999999"/>
    <n v="26803.35"/>
    <s v="CC103"/>
  </r>
  <r>
    <x v="218"/>
    <x v="2"/>
    <x v="5"/>
    <x v="8"/>
    <n v="31512"/>
    <x v="0"/>
    <n v="1575.6"/>
    <n v="33087.599999999999"/>
    <s v="CC105"/>
  </r>
  <r>
    <x v="28"/>
    <x v="7"/>
    <x v="5"/>
    <x v="2"/>
    <n v="44070"/>
    <x v="0"/>
    <n v="2203.5"/>
    <n v="46273.5"/>
    <s v="CC101"/>
  </r>
  <r>
    <x v="1"/>
    <x v="3"/>
    <x v="1"/>
    <x v="4"/>
    <n v="597"/>
    <x v="0"/>
    <n v="29.85"/>
    <n v="626.85"/>
    <s v="CC102"/>
  </r>
  <r>
    <x v="219"/>
    <x v="2"/>
    <x v="2"/>
    <x v="3"/>
    <n v="35927"/>
    <x v="2"/>
    <n v="6466.86"/>
    <n v="42393.86"/>
    <s v="CC105"/>
  </r>
  <r>
    <x v="220"/>
    <x v="7"/>
    <x v="5"/>
    <x v="9"/>
    <n v="3164"/>
    <x v="2"/>
    <n v="569.52"/>
    <n v="3733.52"/>
    <s v="CC106"/>
  </r>
  <r>
    <x v="27"/>
    <x v="3"/>
    <x v="1"/>
    <x v="1"/>
    <n v="10766"/>
    <x v="2"/>
    <n v="1937.88"/>
    <n v="12703.880000000001"/>
    <s v="CC105"/>
  </r>
  <r>
    <x v="221"/>
    <x v="4"/>
    <x v="7"/>
    <x v="1"/>
    <n v="21644"/>
    <x v="2"/>
    <n v="3895.92"/>
    <n v="25539.919999999998"/>
    <s v="CC102"/>
  </r>
  <r>
    <x v="222"/>
    <x v="0"/>
    <x v="5"/>
    <x v="9"/>
    <n v="13493"/>
    <x v="1"/>
    <n v="1619.16"/>
    <n v="15112.16"/>
    <s v="CC106"/>
  </r>
  <r>
    <x v="223"/>
    <x v="5"/>
    <x v="1"/>
    <x v="9"/>
    <n v="8730"/>
    <x v="2"/>
    <n v="1571.4"/>
    <n v="10301.4"/>
    <s v="CC104"/>
  </r>
  <r>
    <x v="177"/>
    <x v="5"/>
    <x v="6"/>
    <x v="5"/>
    <n v="11158"/>
    <x v="1"/>
    <n v="1338.96"/>
    <n v="12496.96"/>
    <s v="CC101"/>
  </r>
  <r>
    <x v="87"/>
    <x v="5"/>
    <x v="5"/>
    <x v="5"/>
    <n v="20720"/>
    <x v="2"/>
    <n v="3729.6"/>
    <n v="24449.599999999999"/>
    <s v="CC105"/>
  </r>
  <r>
    <x v="224"/>
    <x v="3"/>
    <x v="7"/>
    <x v="4"/>
    <n v="49080"/>
    <x v="1"/>
    <n v="5889.6"/>
    <n v="54969.599999999999"/>
    <s v="CC105"/>
  </r>
  <r>
    <x v="141"/>
    <x v="3"/>
    <x v="2"/>
    <x v="5"/>
    <n v="41179"/>
    <x v="2"/>
    <n v="7412.22"/>
    <n v="48591.22"/>
    <s v="CC105"/>
  </r>
  <r>
    <x v="225"/>
    <x v="3"/>
    <x v="8"/>
    <x v="8"/>
    <n v="10315"/>
    <x v="2"/>
    <n v="1856.7"/>
    <n v="12171.7"/>
    <s v="CC106"/>
  </r>
  <r>
    <x v="134"/>
    <x v="2"/>
    <x v="9"/>
    <x v="5"/>
    <n v="24958"/>
    <x v="2"/>
    <n v="4492.4399999999996"/>
    <n v="29450.44"/>
    <s v="CC103"/>
  </r>
  <r>
    <x v="45"/>
    <x v="7"/>
    <x v="7"/>
    <x v="1"/>
    <n v="10291"/>
    <x v="1"/>
    <n v="1234.92"/>
    <n v="11525.92"/>
    <s v="CC104"/>
  </r>
  <r>
    <x v="208"/>
    <x v="6"/>
    <x v="3"/>
    <x v="0"/>
    <n v="39137"/>
    <x v="2"/>
    <n v="7044.66"/>
    <n v="46181.66"/>
    <s v="CC104"/>
  </r>
  <r>
    <x v="226"/>
    <x v="6"/>
    <x v="4"/>
    <x v="6"/>
    <n v="32407"/>
    <x v="1"/>
    <n v="3888.84"/>
    <n v="36295.839999999997"/>
    <s v="CC102"/>
  </r>
  <r>
    <x v="227"/>
    <x v="6"/>
    <x v="5"/>
    <x v="0"/>
    <n v="3035"/>
    <x v="1"/>
    <n v="364.2"/>
    <n v="3399.2"/>
    <s v="CC105"/>
  </r>
  <r>
    <x v="58"/>
    <x v="4"/>
    <x v="1"/>
    <x v="4"/>
    <n v="25207"/>
    <x v="1"/>
    <n v="3024.84"/>
    <n v="28231.84"/>
    <s v="CC106"/>
  </r>
  <r>
    <x v="228"/>
    <x v="0"/>
    <x v="1"/>
    <x v="2"/>
    <n v="16147"/>
    <x v="0"/>
    <n v="807.35"/>
    <n v="16954.349999999999"/>
    <s v="CC103"/>
  </r>
  <r>
    <x v="229"/>
    <x v="7"/>
    <x v="3"/>
    <x v="1"/>
    <n v="19852"/>
    <x v="2"/>
    <n v="3573.36"/>
    <n v="23425.360000000001"/>
    <s v="CC101"/>
  </r>
  <r>
    <x v="230"/>
    <x v="3"/>
    <x v="1"/>
    <x v="5"/>
    <n v="27255"/>
    <x v="0"/>
    <n v="1362.75"/>
    <n v="28617.75"/>
    <s v="CC105"/>
  </r>
  <r>
    <x v="231"/>
    <x v="1"/>
    <x v="6"/>
    <x v="2"/>
    <n v="36476"/>
    <x v="2"/>
    <n v="6565.68"/>
    <n v="43041.68"/>
    <s v="CC105"/>
  </r>
  <r>
    <x v="232"/>
    <x v="3"/>
    <x v="3"/>
    <x v="2"/>
    <n v="42763"/>
    <x v="2"/>
    <n v="7697.34"/>
    <n v="50460.34"/>
    <s v="CC104"/>
  </r>
  <r>
    <x v="137"/>
    <x v="7"/>
    <x v="1"/>
    <x v="6"/>
    <n v="18276"/>
    <x v="0"/>
    <n v="913.8"/>
    <n v="19189.8"/>
    <s v="CC102"/>
  </r>
  <r>
    <x v="233"/>
    <x v="6"/>
    <x v="4"/>
    <x v="4"/>
    <n v="16231"/>
    <x v="2"/>
    <n v="2921.58"/>
    <n v="19152.580000000002"/>
    <s v="CC104"/>
  </r>
  <r>
    <x v="137"/>
    <x v="1"/>
    <x v="7"/>
    <x v="1"/>
    <n v="20537"/>
    <x v="1"/>
    <n v="2464.44"/>
    <n v="23001.439999999999"/>
    <s v="CC103"/>
  </r>
  <r>
    <x v="234"/>
    <x v="6"/>
    <x v="5"/>
    <x v="2"/>
    <n v="8048"/>
    <x v="0"/>
    <n v="402.4"/>
    <n v="8450.4"/>
    <s v="CC104"/>
  </r>
  <r>
    <x v="235"/>
    <x v="3"/>
    <x v="8"/>
    <x v="8"/>
    <n v="9438"/>
    <x v="2"/>
    <n v="1698.84"/>
    <n v="11136.84"/>
    <s v="CC105"/>
  </r>
  <r>
    <x v="236"/>
    <x v="7"/>
    <x v="0"/>
    <x v="8"/>
    <n v="19186"/>
    <x v="2"/>
    <n v="3453.48"/>
    <n v="22639.48"/>
    <s v="CC105"/>
  </r>
  <r>
    <x v="237"/>
    <x v="1"/>
    <x v="8"/>
    <x v="5"/>
    <n v="26505"/>
    <x v="0"/>
    <n v="1325.25"/>
    <n v="27830.25"/>
    <s v="CC102"/>
  </r>
  <r>
    <x v="238"/>
    <x v="7"/>
    <x v="8"/>
    <x v="7"/>
    <n v="2938"/>
    <x v="1"/>
    <n v="352.56"/>
    <n v="3290.56"/>
    <s v="CC105"/>
  </r>
  <r>
    <x v="239"/>
    <x v="7"/>
    <x v="3"/>
    <x v="4"/>
    <n v="12733"/>
    <x v="0"/>
    <n v="636.65"/>
    <n v="13369.65"/>
    <s v="CC105"/>
  </r>
  <r>
    <x v="240"/>
    <x v="1"/>
    <x v="4"/>
    <x v="4"/>
    <n v="39261"/>
    <x v="2"/>
    <n v="7066.98"/>
    <n v="46327.979999999996"/>
    <s v="CC106"/>
  </r>
  <r>
    <x v="26"/>
    <x v="2"/>
    <x v="9"/>
    <x v="1"/>
    <n v="27779"/>
    <x v="0"/>
    <n v="1388.95"/>
    <n v="29167.95"/>
    <s v="CC105"/>
  </r>
  <r>
    <x v="241"/>
    <x v="7"/>
    <x v="6"/>
    <x v="2"/>
    <n v="41905"/>
    <x v="0"/>
    <n v="2095.25"/>
    <n v="44000.25"/>
    <s v="CC104"/>
  </r>
  <r>
    <x v="242"/>
    <x v="6"/>
    <x v="4"/>
    <x v="2"/>
    <n v="48411"/>
    <x v="1"/>
    <n v="5809.32"/>
    <n v="54220.32"/>
    <s v="CC102"/>
  </r>
  <r>
    <x v="93"/>
    <x v="1"/>
    <x v="1"/>
    <x v="0"/>
    <n v="28121"/>
    <x v="0"/>
    <n v="1406.05"/>
    <n v="29527.05"/>
    <s v="CC106"/>
  </r>
  <r>
    <x v="146"/>
    <x v="7"/>
    <x v="6"/>
    <x v="1"/>
    <n v="37843"/>
    <x v="1"/>
    <n v="4541.16"/>
    <n v="42384.160000000003"/>
    <s v="CC101"/>
  </r>
  <r>
    <x v="243"/>
    <x v="0"/>
    <x v="3"/>
    <x v="6"/>
    <n v="18002"/>
    <x v="1"/>
    <n v="2160.2399999999998"/>
    <n v="20162.239999999998"/>
    <s v="CC101"/>
  </r>
  <r>
    <x v="244"/>
    <x v="3"/>
    <x v="1"/>
    <x v="1"/>
    <n v="23160"/>
    <x v="1"/>
    <n v="2779.2"/>
    <n v="25939.200000000001"/>
    <s v="CC106"/>
  </r>
  <r>
    <x v="245"/>
    <x v="2"/>
    <x v="3"/>
    <x v="5"/>
    <n v="33194"/>
    <x v="2"/>
    <n v="5974.92"/>
    <n v="39168.92"/>
    <s v="CC101"/>
  </r>
  <r>
    <x v="31"/>
    <x v="2"/>
    <x v="6"/>
    <x v="0"/>
    <n v="27292"/>
    <x v="1"/>
    <n v="3275.04"/>
    <n v="30567.040000000001"/>
    <s v="CC105"/>
  </r>
  <r>
    <x v="246"/>
    <x v="2"/>
    <x v="7"/>
    <x v="0"/>
    <n v="38228"/>
    <x v="0"/>
    <n v="1911.4"/>
    <n v="40139.4"/>
    <s v="CC105"/>
  </r>
  <r>
    <x v="203"/>
    <x v="7"/>
    <x v="7"/>
    <x v="7"/>
    <n v="44281"/>
    <x v="1"/>
    <n v="5313.72"/>
    <n v="49594.720000000001"/>
    <s v="CC103"/>
  </r>
  <r>
    <x v="75"/>
    <x v="0"/>
    <x v="7"/>
    <x v="2"/>
    <n v="10288"/>
    <x v="0"/>
    <n v="514.4"/>
    <n v="10802.4"/>
    <s v="CC105"/>
  </r>
  <r>
    <x v="247"/>
    <x v="0"/>
    <x v="4"/>
    <x v="2"/>
    <n v="9512"/>
    <x v="2"/>
    <n v="1712.16"/>
    <n v="11224.16"/>
    <s v="CC105"/>
  </r>
  <r>
    <x v="248"/>
    <x v="2"/>
    <x v="7"/>
    <x v="6"/>
    <n v="22177"/>
    <x v="2"/>
    <n v="3991.86"/>
    <n v="26168.86"/>
    <s v="CC101"/>
  </r>
  <r>
    <x v="249"/>
    <x v="2"/>
    <x v="7"/>
    <x v="4"/>
    <n v="31250"/>
    <x v="2"/>
    <n v="5625"/>
    <n v="36875"/>
    <s v="CC104"/>
  </r>
  <r>
    <x v="136"/>
    <x v="3"/>
    <x v="5"/>
    <x v="2"/>
    <n v="20846"/>
    <x v="2"/>
    <n v="3752.28"/>
    <n v="24598.28"/>
    <s v="CC103"/>
  </r>
  <r>
    <x v="250"/>
    <x v="3"/>
    <x v="2"/>
    <x v="0"/>
    <n v="5141"/>
    <x v="1"/>
    <n v="616.91999999999996"/>
    <n v="5757.92"/>
    <s v="CC103"/>
  </r>
  <r>
    <x v="251"/>
    <x v="4"/>
    <x v="9"/>
    <x v="4"/>
    <n v="40752"/>
    <x v="1"/>
    <n v="4890.24"/>
    <n v="45642.239999999998"/>
    <s v="CC105"/>
  </r>
  <r>
    <x v="252"/>
    <x v="4"/>
    <x v="7"/>
    <x v="0"/>
    <n v="41956"/>
    <x v="1"/>
    <n v="5034.72"/>
    <n v="46990.720000000001"/>
    <s v="CC103"/>
  </r>
  <r>
    <x v="253"/>
    <x v="1"/>
    <x v="0"/>
    <x v="7"/>
    <n v="12342"/>
    <x v="2"/>
    <n v="2221.56"/>
    <n v="14563.56"/>
    <s v="CC103"/>
  </r>
  <r>
    <x v="254"/>
    <x v="0"/>
    <x v="9"/>
    <x v="9"/>
    <n v="45346"/>
    <x v="2"/>
    <n v="8162.28"/>
    <n v="53508.28"/>
    <s v="CC104"/>
  </r>
  <r>
    <x v="57"/>
    <x v="0"/>
    <x v="6"/>
    <x v="0"/>
    <n v="49536"/>
    <x v="1"/>
    <n v="5944.32"/>
    <n v="55480.32"/>
    <s v="CC105"/>
  </r>
  <r>
    <x v="150"/>
    <x v="3"/>
    <x v="0"/>
    <x v="4"/>
    <n v="8835"/>
    <x v="1"/>
    <n v="1060.2"/>
    <n v="9895.2000000000007"/>
    <s v="CC106"/>
  </r>
  <r>
    <x v="255"/>
    <x v="7"/>
    <x v="4"/>
    <x v="3"/>
    <n v="22091"/>
    <x v="0"/>
    <n v="1104.55"/>
    <n v="23195.55"/>
    <s v="CC105"/>
  </r>
  <r>
    <x v="256"/>
    <x v="0"/>
    <x v="7"/>
    <x v="7"/>
    <n v="45970"/>
    <x v="0"/>
    <n v="2298.5"/>
    <n v="48268.5"/>
    <s v="CC103"/>
  </r>
  <r>
    <x v="257"/>
    <x v="0"/>
    <x v="5"/>
    <x v="6"/>
    <n v="48290"/>
    <x v="2"/>
    <n v="8692.2000000000007"/>
    <n v="56982.2"/>
    <s v="CC102"/>
  </r>
  <r>
    <x v="32"/>
    <x v="0"/>
    <x v="4"/>
    <x v="5"/>
    <n v="43856"/>
    <x v="2"/>
    <n v="7894.08"/>
    <n v="51750.080000000002"/>
    <s v="CC101"/>
  </r>
  <r>
    <x v="111"/>
    <x v="5"/>
    <x v="6"/>
    <x v="8"/>
    <n v="28906"/>
    <x v="0"/>
    <n v="1445.3"/>
    <n v="30351.3"/>
    <s v="CC103"/>
  </r>
  <r>
    <x v="249"/>
    <x v="4"/>
    <x v="8"/>
    <x v="0"/>
    <n v="6618"/>
    <x v="1"/>
    <n v="794.16"/>
    <n v="7412.16"/>
    <s v="CC103"/>
  </r>
  <r>
    <x v="32"/>
    <x v="4"/>
    <x v="1"/>
    <x v="7"/>
    <n v="27271"/>
    <x v="0"/>
    <n v="1363.55"/>
    <n v="28634.55"/>
    <s v="CC103"/>
  </r>
  <r>
    <x v="258"/>
    <x v="6"/>
    <x v="4"/>
    <x v="5"/>
    <n v="42905"/>
    <x v="0"/>
    <n v="2145.25"/>
    <n v="45050.25"/>
    <s v="CC102"/>
  </r>
  <r>
    <x v="259"/>
    <x v="4"/>
    <x v="0"/>
    <x v="4"/>
    <n v="2511"/>
    <x v="1"/>
    <n v="301.32"/>
    <n v="2812.32"/>
    <s v="CC101"/>
  </r>
  <r>
    <x v="260"/>
    <x v="5"/>
    <x v="1"/>
    <x v="4"/>
    <n v="17598"/>
    <x v="2"/>
    <n v="3167.64"/>
    <n v="20765.64"/>
    <s v="CC106"/>
  </r>
  <r>
    <x v="261"/>
    <x v="4"/>
    <x v="7"/>
    <x v="1"/>
    <n v="30380"/>
    <x v="1"/>
    <n v="3645.6"/>
    <n v="34025.599999999999"/>
    <s v="CC104"/>
  </r>
  <r>
    <x v="140"/>
    <x v="0"/>
    <x v="4"/>
    <x v="5"/>
    <n v="27397"/>
    <x v="0"/>
    <n v="1369.85"/>
    <n v="28766.85"/>
    <s v="CC103"/>
  </r>
  <r>
    <x v="262"/>
    <x v="0"/>
    <x v="0"/>
    <x v="8"/>
    <n v="21243"/>
    <x v="0"/>
    <n v="1062.1500000000001"/>
    <n v="22305.15"/>
    <s v="CC101"/>
  </r>
  <r>
    <x v="12"/>
    <x v="4"/>
    <x v="6"/>
    <x v="8"/>
    <n v="9489"/>
    <x v="0"/>
    <n v="474.45"/>
    <n v="9963.4500000000007"/>
    <s v="CC106"/>
  </r>
  <r>
    <x v="129"/>
    <x v="6"/>
    <x v="6"/>
    <x v="0"/>
    <n v="4064"/>
    <x v="1"/>
    <n v="487.68"/>
    <n v="4551.68"/>
    <s v="CC106"/>
  </r>
  <r>
    <x v="263"/>
    <x v="7"/>
    <x v="9"/>
    <x v="7"/>
    <n v="35983"/>
    <x v="1"/>
    <n v="4317.96"/>
    <n v="40300.959999999999"/>
    <s v="CC103"/>
  </r>
  <r>
    <x v="264"/>
    <x v="0"/>
    <x v="9"/>
    <x v="6"/>
    <n v="15168"/>
    <x v="0"/>
    <n v="758.4"/>
    <n v="15926.4"/>
    <s v="CC103"/>
  </r>
  <r>
    <x v="265"/>
    <x v="6"/>
    <x v="2"/>
    <x v="9"/>
    <n v="28966"/>
    <x v="2"/>
    <n v="5213.88"/>
    <n v="34179.879999999997"/>
    <s v="CC101"/>
  </r>
  <r>
    <x v="266"/>
    <x v="1"/>
    <x v="9"/>
    <x v="3"/>
    <n v="44745"/>
    <x v="0"/>
    <n v="2237.25"/>
    <n v="46982.25"/>
    <s v="CC104"/>
  </r>
  <r>
    <x v="240"/>
    <x v="2"/>
    <x v="6"/>
    <x v="2"/>
    <n v="27366"/>
    <x v="2"/>
    <n v="4925.88"/>
    <n v="32291.88"/>
    <s v="CC103"/>
  </r>
  <r>
    <x v="181"/>
    <x v="7"/>
    <x v="1"/>
    <x v="6"/>
    <n v="32271"/>
    <x v="2"/>
    <n v="5808.78"/>
    <n v="38079.78"/>
    <s v="CC106"/>
  </r>
  <r>
    <x v="267"/>
    <x v="7"/>
    <x v="7"/>
    <x v="2"/>
    <n v="47913"/>
    <x v="1"/>
    <n v="5749.56"/>
    <n v="53662.559999999998"/>
    <s v="CC103"/>
  </r>
  <r>
    <x v="268"/>
    <x v="7"/>
    <x v="2"/>
    <x v="5"/>
    <n v="561"/>
    <x v="0"/>
    <n v="28.05"/>
    <n v="589.04999999999995"/>
    <s v="CC105"/>
  </r>
  <r>
    <x v="269"/>
    <x v="3"/>
    <x v="6"/>
    <x v="4"/>
    <n v="4049"/>
    <x v="1"/>
    <n v="485.88"/>
    <n v="4534.88"/>
    <s v="CC102"/>
  </r>
  <r>
    <x v="270"/>
    <x v="0"/>
    <x v="5"/>
    <x v="9"/>
    <n v="45803"/>
    <x v="0"/>
    <n v="2290.15"/>
    <n v="48093.15"/>
    <s v="CC105"/>
  </r>
  <r>
    <x v="241"/>
    <x v="4"/>
    <x v="7"/>
    <x v="7"/>
    <n v="11193"/>
    <x v="1"/>
    <n v="1343.16"/>
    <n v="12536.16"/>
    <s v="CC102"/>
  </r>
  <r>
    <x v="271"/>
    <x v="0"/>
    <x v="4"/>
    <x v="7"/>
    <n v="14486"/>
    <x v="1"/>
    <n v="1738.32"/>
    <n v="16224.32"/>
    <s v="CC104"/>
  </r>
  <r>
    <x v="272"/>
    <x v="0"/>
    <x v="0"/>
    <x v="0"/>
    <n v="30431"/>
    <x v="1"/>
    <n v="3651.72"/>
    <n v="34082.720000000001"/>
    <s v="CC104"/>
  </r>
  <r>
    <x v="273"/>
    <x v="0"/>
    <x v="8"/>
    <x v="2"/>
    <n v="4152"/>
    <x v="1"/>
    <n v="498.24"/>
    <n v="4650.24"/>
    <s v="CC101"/>
  </r>
  <r>
    <x v="75"/>
    <x v="1"/>
    <x v="8"/>
    <x v="5"/>
    <n v="35958"/>
    <x v="1"/>
    <n v="4314.96"/>
    <n v="40272.959999999999"/>
    <s v="CC105"/>
  </r>
  <r>
    <x v="111"/>
    <x v="0"/>
    <x v="2"/>
    <x v="1"/>
    <n v="42526"/>
    <x v="0"/>
    <n v="2126.3000000000002"/>
    <n v="44652.3"/>
    <s v="CC105"/>
  </r>
  <r>
    <x v="265"/>
    <x v="1"/>
    <x v="4"/>
    <x v="5"/>
    <n v="11502"/>
    <x v="2"/>
    <n v="2070.36"/>
    <n v="13572.36"/>
    <s v="CC106"/>
  </r>
  <r>
    <x v="274"/>
    <x v="1"/>
    <x v="2"/>
    <x v="5"/>
    <n v="17712"/>
    <x v="0"/>
    <n v="885.6"/>
    <n v="18597.599999999999"/>
    <s v="CC104"/>
  </r>
  <r>
    <x v="44"/>
    <x v="2"/>
    <x v="0"/>
    <x v="2"/>
    <n v="13375"/>
    <x v="1"/>
    <n v="1605"/>
    <n v="14980"/>
    <s v="CC102"/>
  </r>
  <r>
    <x v="91"/>
    <x v="1"/>
    <x v="2"/>
    <x v="0"/>
    <n v="27576"/>
    <x v="1"/>
    <n v="3309.12"/>
    <n v="30885.119999999999"/>
    <s v="CC105"/>
  </r>
  <r>
    <x v="275"/>
    <x v="2"/>
    <x v="7"/>
    <x v="8"/>
    <n v="17325"/>
    <x v="1"/>
    <n v="2079"/>
    <n v="19404"/>
    <s v="CC105"/>
  </r>
  <r>
    <x v="276"/>
    <x v="2"/>
    <x v="7"/>
    <x v="9"/>
    <n v="43178"/>
    <x v="0"/>
    <n v="2158.9"/>
    <n v="45336.9"/>
    <s v="CC104"/>
  </r>
  <r>
    <x v="180"/>
    <x v="2"/>
    <x v="0"/>
    <x v="7"/>
    <n v="48317"/>
    <x v="2"/>
    <n v="8697.06"/>
    <n v="57014.06"/>
    <s v="CC106"/>
  </r>
  <r>
    <x v="189"/>
    <x v="0"/>
    <x v="9"/>
    <x v="4"/>
    <n v="7047"/>
    <x v="2"/>
    <n v="1268.46"/>
    <n v="8315.4599999999991"/>
    <s v="CC103"/>
  </r>
  <r>
    <x v="277"/>
    <x v="0"/>
    <x v="9"/>
    <x v="7"/>
    <n v="14630"/>
    <x v="0"/>
    <n v="731.5"/>
    <n v="15361.5"/>
    <s v="CC102"/>
  </r>
  <r>
    <x v="278"/>
    <x v="7"/>
    <x v="3"/>
    <x v="6"/>
    <n v="34740"/>
    <x v="0"/>
    <n v="1737"/>
    <n v="36477"/>
    <s v="CC102"/>
  </r>
  <r>
    <x v="279"/>
    <x v="0"/>
    <x v="2"/>
    <x v="2"/>
    <n v="11677"/>
    <x v="0"/>
    <n v="583.85"/>
    <n v="12260.85"/>
    <s v="CC104"/>
  </r>
  <r>
    <x v="64"/>
    <x v="7"/>
    <x v="2"/>
    <x v="2"/>
    <n v="42595"/>
    <x v="2"/>
    <n v="7667.1"/>
    <n v="50262.1"/>
    <s v="CC106"/>
  </r>
  <r>
    <x v="82"/>
    <x v="0"/>
    <x v="5"/>
    <x v="7"/>
    <n v="47542"/>
    <x v="0"/>
    <n v="2377.1"/>
    <n v="49919.1"/>
    <s v="CC103"/>
  </r>
  <r>
    <x v="280"/>
    <x v="4"/>
    <x v="5"/>
    <x v="2"/>
    <n v="33723"/>
    <x v="1"/>
    <n v="4046.76"/>
    <n v="37769.760000000002"/>
    <s v="CC105"/>
  </r>
  <r>
    <x v="237"/>
    <x v="1"/>
    <x v="1"/>
    <x v="3"/>
    <n v="44578"/>
    <x v="1"/>
    <n v="5349.36"/>
    <n v="49927.360000000001"/>
    <s v="CC105"/>
  </r>
  <r>
    <x v="281"/>
    <x v="1"/>
    <x v="2"/>
    <x v="6"/>
    <n v="11043"/>
    <x v="1"/>
    <n v="1325.16"/>
    <n v="12368.16"/>
    <s v="CC103"/>
  </r>
  <r>
    <x v="282"/>
    <x v="4"/>
    <x v="9"/>
    <x v="6"/>
    <n v="38791"/>
    <x v="0"/>
    <n v="1939.55"/>
    <n v="40730.550000000003"/>
    <s v="CC102"/>
  </r>
  <r>
    <x v="104"/>
    <x v="2"/>
    <x v="5"/>
    <x v="7"/>
    <n v="13428"/>
    <x v="0"/>
    <n v="671.4"/>
    <n v="14099.4"/>
    <s v="CC101"/>
  </r>
  <r>
    <x v="283"/>
    <x v="2"/>
    <x v="0"/>
    <x v="2"/>
    <n v="42311"/>
    <x v="1"/>
    <n v="5077.32"/>
    <n v="47388.32"/>
    <s v="CC103"/>
  </r>
  <r>
    <x v="284"/>
    <x v="8"/>
    <x v="10"/>
    <x v="10"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7DE40-34C3-434B-9E2E-712FA219EF5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31" firstHeaderRow="1" firstDataRow="1" firstDataCol="1"/>
  <pivotFields count="12">
    <pivotField showAll="0">
      <items count="286">
        <item x="182"/>
        <item x="204"/>
        <item x="107"/>
        <item x="103"/>
        <item x="223"/>
        <item x="227"/>
        <item x="109"/>
        <item x="46"/>
        <item x="242"/>
        <item x="106"/>
        <item x="280"/>
        <item x="28"/>
        <item x="234"/>
        <item x="44"/>
        <item x="177"/>
        <item x="1"/>
        <item x="244"/>
        <item x="36"/>
        <item x="84"/>
        <item x="216"/>
        <item x="19"/>
        <item x="147"/>
        <item x="237"/>
        <item x="65"/>
        <item x="71"/>
        <item x="183"/>
        <item x="142"/>
        <item x="212"/>
        <item x="111"/>
        <item x="265"/>
        <item x="214"/>
        <item x="172"/>
        <item x="160"/>
        <item x="104"/>
        <item x="94"/>
        <item x="128"/>
        <item x="247"/>
        <item x="231"/>
        <item x="199"/>
        <item x="150"/>
        <item x="166"/>
        <item x="168"/>
        <item x="116"/>
        <item x="207"/>
        <item x="192"/>
        <item x="164"/>
        <item x="74"/>
        <item x="135"/>
        <item x="218"/>
        <item x="25"/>
        <item x="217"/>
        <item x="232"/>
        <item x="261"/>
        <item x="55"/>
        <item x="245"/>
        <item x="13"/>
        <item x="264"/>
        <item x="67"/>
        <item x="270"/>
        <item x="76"/>
        <item x="49"/>
        <item x="87"/>
        <item x="169"/>
        <item x="202"/>
        <item x="211"/>
        <item x="72"/>
        <item x="93"/>
        <item x="188"/>
        <item x="239"/>
        <item x="170"/>
        <item x="283"/>
        <item x="95"/>
        <item x="61"/>
        <item x="263"/>
        <item x="10"/>
        <item x="259"/>
        <item x="115"/>
        <item x="140"/>
        <item x="114"/>
        <item x="39"/>
        <item x="78"/>
        <item x="195"/>
        <item x="279"/>
        <item x="272"/>
        <item x="174"/>
        <item x="158"/>
        <item x="185"/>
        <item x="0"/>
        <item x="159"/>
        <item x="110"/>
        <item x="57"/>
        <item x="161"/>
        <item x="257"/>
        <item x="225"/>
        <item x="184"/>
        <item x="186"/>
        <item x="175"/>
        <item x="156"/>
        <item x="275"/>
        <item x="29"/>
        <item x="176"/>
        <item x="255"/>
        <item x="52"/>
        <item x="240"/>
        <item x="258"/>
        <item x="126"/>
        <item x="68"/>
        <item x="196"/>
        <item x="123"/>
        <item x="85"/>
        <item x="112"/>
        <item x="47"/>
        <item x="56"/>
        <item x="100"/>
        <item x="11"/>
        <item x="138"/>
        <item x="162"/>
        <item x="198"/>
        <item x="246"/>
        <item x="187"/>
        <item x="53"/>
        <item x="60"/>
        <item x="197"/>
        <item x="133"/>
        <item x="120"/>
        <item x="33"/>
        <item x="282"/>
        <item x="69"/>
        <item x="167"/>
        <item x="125"/>
        <item x="108"/>
        <item x="165"/>
        <item x="273"/>
        <item x="271"/>
        <item x="3"/>
        <item x="18"/>
        <item x="154"/>
        <item x="34"/>
        <item x="16"/>
        <item x="62"/>
        <item x="253"/>
        <item x="5"/>
        <item x="181"/>
        <item x="213"/>
        <item x="113"/>
        <item x="81"/>
        <item x="171"/>
        <item x="262"/>
        <item x="206"/>
        <item x="89"/>
        <item x="41"/>
        <item x="276"/>
        <item x="80"/>
        <item x="144"/>
        <item x="6"/>
        <item x="58"/>
        <item x="102"/>
        <item x="220"/>
        <item x="15"/>
        <item x="88"/>
        <item x="134"/>
        <item x="281"/>
        <item x="91"/>
        <item x="99"/>
        <item x="146"/>
        <item x="137"/>
        <item x="14"/>
        <item x="190"/>
        <item x="12"/>
        <item x="151"/>
        <item x="266"/>
        <item x="37"/>
        <item x="86"/>
        <item x="22"/>
        <item x="249"/>
        <item x="26"/>
        <item x="45"/>
        <item x="136"/>
        <item x="121"/>
        <item x="50"/>
        <item x="163"/>
        <item x="219"/>
        <item x="189"/>
        <item x="127"/>
        <item x="92"/>
        <item x="143"/>
        <item x="221"/>
        <item x="194"/>
        <item x="224"/>
        <item x="97"/>
        <item x="230"/>
        <item x="31"/>
        <item x="35"/>
        <item x="208"/>
        <item x="215"/>
        <item x="8"/>
        <item x="132"/>
        <item x="155"/>
        <item x="73"/>
        <item x="148"/>
        <item x="274"/>
        <item x="233"/>
        <item x="251"/>
        <item x="83"/>
        <item x="268"/>
        <item x="180"/>
        <item x="90"/>
        <item x="178"/>
        <item x="124"/>
        <item x="145"/>
        <item x="200"/>
        <item x="96"/>
        <item x="153"/>
        <item x="117"/>
        <item x="98"/>
        <item x="51"/>
        <item x="157"/>
        <item x="260"/>
        <item x="149"/>
        <item x="21"/>
        <item x="54"/>
        <item x="48"/>
        <item x="236"/>
        <item x="38"/>
        <item x="101"/>
        <item x="254"/>
        <item x="278"/>
        <item x="238"/>
        <item x="122"/>
        <item x="79"/>
        <item x="139"/>
        <item x="17"/>
        <item x="210"/>
        <item x="64"/>
        <item x="222"/>
        <item x="250"/>
        <item x="243"/>
        <item x="141"/>
        <item x="30"/>
        <item x="66"/>
        <item x="152"/>
        <item x="77"/>
        <item x="248"/>
        <item x="105"/>
        <item x="59"/>
        <item x="129"/>
        <item x="201"/>
        <item x="70"/>
        <item x="4"/>
        <item x="277"/>
        <item x="241"/>
        <item x="191"/>
        <item x="40"/>
        <item x="235"/>
        <item x="2"/>
        <item x="32"/>
        <item x="7"/>
        <item x="9"/>
        <item x="24"/>
        <item x="130"/>
        <item x="75"/>
        <item x="82"/>
        <item x="131"/>
        <item x="119"/>
        <item x="23"/>
        <item x="269"/>
        <item x="226"/>
        <item x="43"/>
        <item x="252"/>
        <item x="118"/>
        <item x="20"/>
        <item x="179"/>
        <item x="267"/>
        <item x="256"/>
        <item x="193"/>
        <item x="63"/>
        <item x="27"/>
        <item x="209"/>
        <item x="229"/>
        <item x="228"/>
        <item x="42"/>
        <item x="205"/>
        <item x="173"/>
        <item x="203"/>
        <item x="284"/>
        <item t="default"/>
      </items>
    </pivotField>
    <pivotField axis="axisRow" showAll="0">
      <items count="10">
        <item x="4"/>
        <item x="1"/>
        <item x="2"/>
        <item x="6"/>
        <item x="0"/>
        <item x="3"/>
        <item x="7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Expens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1EAD6-EA48-4D00-AE9D-2F906BE0124E}" name="PivotTable4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:B16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2">
        <item x="0"/>
        <item x="1"/>
      </items>
    </pivotField>
  </pivotFields>
  <rowFields count="4">
    <field x="4"/>
    <field x="3"/>
    <field x="2"/>
    <field x="1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 Expenses" fld="0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9"/>
    <rowHierarchyUsage hierarchyUsage="10"/>
    <rowHierarchyUsage hierarchyUsage="11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023AD-7EB4-445E-AFB9-D3EB0FA7E87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2:J34" firstHeaderRow="1" firstDataRow="1" firstDataCol="1"/>
  <pivotFields count="12">
    <pivotField showAll="0">
      <items count="286">
        <item x="182"/>
        <item x="204"/>
        <item x="107"/>
        <item x="103"/>
        <item x="223"/>
        <item x="227"/>
        <item x="109"/>
        <item x="46"/>
        <item x="242"/>
        <item x="106"/>
        <item x="280"/>
        <item x="28"/>
        <item x="234"/>
        <item x="44"/>
        <item x="177"/>
        <item x="1"/>
        <item x="244"/>
        <item x="36"/>
        <item x="84"/>
        <item x="216"/>
        <item x="19"/>
        <item x="147"/>
        <item x="237"/>
        <item x="65"/>
        <item x="71"/>
        <item x="183"/>
        <item x="142"/>
        <item x="212"/>
        <item x="111"/>
        <item x="265"/>
        <item x="214"/>
        <item x="172"/>
        <item x="160"/>
        <item x="104"/>
        <item x="94"/>
        <item x="128"/>
        <item x="247"/>
        <item x="231"/>
        <item x="199"/>
        <item x="150"/>
        <item x="166"/>
        <item x="168"/>
        <item x="116"/>
        <item x="207"/>
        <item x="192"/>
        <item x="164"/>
        <item x="74"/>
        <item x="135"/>
        <item x="218"/>
        <item x="25"/>
        <item x="217"/>
        <item x="232"/>
        <item x="261"/>
        <item x="55"/>
        <item x="245"/>
        <item x="13"/>
        <item x="264"/>
        <item x="67"/>
        <item x="270"/>
        <item x="76"/>
        <item x="49"/>
        <item x="87"/>
        <item x="169"/>
        <item x="202"/>
        <item x="211"/>
        <item x="72"/>
        <item x="93"/>
        <item x="188"/>
        <item x="239"/>
        <item x="170"/>
        <item x="283"/>
        <item x="95"/>
        <item x="61"/>
        <item x="263"/>
        <item x="10"/>
        <item x="259"/>
        <item x="115"/>
        <item x="140"/>
        <item x="114"/>
        <item x="39"/>
        <item x="78"/>
        <item x="195"/>
        <item x="279"/>
        <item x="272"/>
        <item x="174"/>
        <item x="158"/>
        <item x="185"/>
        <item x="0"/>
        <item x="159"/>
        <item x="110"/>
        <item x="57"/>
        <item x="161"/>
        <item x="257"/>
        <item x="225"/>
        <item x="184"/>
        <item x="186"/>
        <item x="175"/>
        <item x="156"/>
        <item x="275"/>
        <item x="29"/>
        <item x="176"/>
        <item x="255"/>
        <item x="52"/>
        <item x="240"/>
        <item x="258"/>
        <item x="126"/>
        <item x="68"/>
        <item x="196"/>
        <item x="123"/>
        <item x="85"/>
        <item x="112"/>
        <item x="47"/>
        <item x="56"/>
        <item x="100"/>
        <item x="11"/>
        <item x="138"/>
        <item x="162"/>
        <item x="198"/>
        <item x="246"/>
        <item x="187"/>
        <item x="53"/>
        <item x="60"/>
        <item x="197"/>
        <item x="133"/>
        <item x="120"/>
        <item x="33"/>
        <item x="282"/>
        <item x="69"/>
        <item x="167"/>
        <item x="125"/>
        <item x="108"/>
        <item x="165"/>
        <item x="273"/>
        <item x="271"/>
        <item x="3"/>
        <item x="18"/>
        <item x="154"/>
        <item x="34"/>
        <item x="16"/>
        <item x="62"/>
        <item x="253"/>
        <item x="5"/>
        <item x="181"/>
        <item x="213"/>
        <item x="113"/>
        <item x="81"/>
        <item x="171"/>
        <item x="262"/>
        <item x="206"/>
        <item x="89"/>
        <item x="41"/>
        <item x="276"/>
        <item x="80"/>
        <item x="144"/>
        <item x="6"/>
        <item x="58"/>
        <item x="102"/>
        <item x="220"/>
        <item x="15"/>
        <item x="88"/>
        <item x="134"/>
        <item x="281"/>
        <item x="91"/>
        <item x="99"/>
        <item x="146"/>
        <item x="137"/>
        <item x="14"/>
        <item x="190"/>
        <item x="12"/>
        <item x="151"/>
        <item x="266"/>
        <item x="37"/>
        <item x="86"/>
        <item x="22"/>
        <item x="249"/>
        <item x="26"/>
        <item x="45"/>
        <item x="136"/>
        <item x="121"/>
        <item x="50"/>
        <item x="163"/>
        <item x="219"/>
        <item x="189"/>
        <item x="127"/>
        <item x="92"/>
        <item x="143"/>
        <item x="221"/>
        <item x="194"/>
        <item x="224"/>
        <item x="97"/>
        <item x="230"/>
        <item x="31"/>
        <item x="35"/>
        <item x="208"/>
        <item x="215"/>
        <item x="8"/>
        <item x="132"/>
        <item x="155"/>
        <item x="73"/>
        <item x="148"/>
        <item x="274"/>
        <item x="233"/>
        <item x="251"/>
        <item x="83"/>
        <item x="268"/>
        <item x="180"/>
        <item x="90"/>
        <item x="178"/>
        <item x="124"/>
        <item x="145"/>
        <item x="200"/>
        <item x="96"/>
        <item x="153"/>
        <item x="117"/>
        <item x="98"/>
        <item x="51"/>
        <item x="157"/>
        <item x="260"/>
        <item x="149"/>
        <item x="21"/>
        <item x="54"/>
        <item x="48"/>
        <item x="236"/>
        <item x="38"/>
        <item x="101"/>
        <item x="254"/>
        <item x="278"/>
        <item x="238"/>
        <item x="122"/>
        <item x="79"/>
        <item x="139"/>
        <item x="17"/>
        <item x="210"/>
        <item x="64"/>
        <item x="222"/>
        <item x="250"/>
        <item x="243"/>
        <item x="141"/>
        <item x="30"/>
        <item x="66"/>
        <item x="152"/>
        <item x="77"/>
        <item x="248"/>
        <item x="105"/>
        <item x="59"/>
        <item x="129"/>
        <item x="201"/>
        <item x="70"/>
        <item x="4"/>
        <item x="277"/>
        <item x="241"/>
        <item x="191"/>
        <item x="40"/>
        <item x="235"/>
        <item x="2"/>
        <item x="32"/>
        <item x="7"/>
        <item x="9"/>
        <item x="24"/>
        <item x="130"/>
        <item x="75"/>
        <item x="82"/>
        <item x="131"/>
        <item x="119"/>
        <item x="23"/>
        <item x="269"/>
        <item x="226"/>
        <item x="43"/>
        <item x="252"/>
        <item x="118"/>
        <item x="20"/>
        <item x="179"/>
        <item x="267"/>
        <item x="256"/>
        <item x="193"/>
        <item x="63"/>
        <item x="27"/>
        <item x="209"/>
        <item x="229"/>
        <item x="228"/>
        <item x="42"/>
        <item x="205"/>
        <item x="173"/>
        <item x="203"/>
        <item x="284"/>
        <item t="default"/>
      </items>
    </pivotField>
    <pivotField showAll="0"/>
    <pivotField showAll="0"/>
    <pivotField axis="axisRow" showAll="0">
      <items count="12">
        <item x="2"/>
        <item x="1"/>
        <item x="7"/>
        <item x="9"/>
        <item x="3"/>
        <item x="8"/>
        <item x="4"/>
        <item x="0"/>
        <item x="5"/>
        <item x="6"/>
        <item x="10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Expens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00038-3295-4C34-A212-94B7EB247E3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2:F27" firstHeaderRow="1" firstDataRow="1" firstDataCol="1"/>
  <pivotFields count="12">
    <pivotField showAll="0">
      <items count="286">
        <item x="182"/>
        <item x="204"/>
        <item x="107"/>
        <item x="103"/>
        <item x="223"/>
        <item x="227"/>
        <item x="109"/>
        <item x="46"/>
        <item x="242"/>
        <item x="106"/>
        <item x="280"/>
        <item x="28"/>
        <item x="234"/>
        <item x="44"/>
        <item x="177"/>
        <item x="1"/>
        <item x="244"/>
        <item x="36"/>
        <item x="84"/>
        <item x="216"/>
        <item x="19"/>
        <item x="147"/>
        <item x="237"/>
        <item x="65"/>
        <item x="71"/>
        <item x="183"/>
        <item x="142"/>
        <item x="212"/>
        <item x="111"/>
        <item x="265"/>
        <item x="214"/>
        <item x="172"/>
        <item x="160"/>
        <item x="104"/>
        <item x="94"/>
        <item x="128"/>
        <item x="247"/>
        <item x="231"/>
        <item x="199"/>
        <item x="150"/>
        <item x="166"/>
        <item x="168"/>
        <item x="116"/>
        <item x="207"/>
        <item x="192"/>
        <item x="164"/>
        <item x="74"/>
        <item x="135"/>
        <item x="218"/>
        <item x="25"/>
        <item x="217"/>
        <item x="232"/>
        <item x="261"/>
        <item x="55"/>
        <item x="245"/>
        <item x="13"/>
        <item x="264"/>
        <item x="67"/>
        <item x="270"/>
        <item x="76"/>
        <item x="49"/>
        <item x="87"/>
        <item x="169"/>
        <item x="202"/>
        <item x="211"/>
        <item x="72"/>
        <item x="93"/>
        <item x="188"/>
        <item x="239"/>
        <item x="170"/>
        <item x="283"/>
        <item x="95"/>
        <item x="61"/>
        <item x="263"/>
        <item x="10"/>
        <item x="259"/>
        <item x="115"/>
        <item x="140"/>
        <item x="114"/>
        <item x="39"/>
        <item x="78"/>
        <item x="195"/>
        <item x="279"/>
        <item x="272"/>
        <item x="174"/>
        <item x="158"/>
        <item x="185"/>
        <item x="0"/>
        <item x="159"/>
        <item x="110"/>
        <item x="57"/>
        <item x="161"/>
        <item x="257"/>
        <item x="225"/>
        <item x="184"/>
        <item x="186"/>
        <item x="175"/>
        <item x="156"/>
        <item x="275"/>
        <item x="29"/>
        <item x="176"/>
        <item x="255"/>
        <item x="52"/>
        <item x="240"/>
        <item x="258"/>
        <item x="126"/>
        <item x="68"/>
        <item x="196"/>
        <item x="123"/>
        <item x="85"/>
        <item x="112"/>
        <item x="47"/>
        <item x="56"/>
        <item x="100"/>
        <item x="11"/>
        <item x="138"/>
        <item x="162"/>
        <item x="198"/>
        <item x="246"/>
        <item x="187"/>
        <item x="53"/>
        <item x="60"/>
        <item x="197"/>
        <item x="133"/>
        <item x="120"/>
        <item x="33"/>
        <item x="282"/>
        <item x="69"/>
        <item x="167"/>
        <item x="125"/>
        <item x="108"/>
        <item x="165"/>
        <item x="273"/>
        <item x="271"/>
        <item x="3"/>
        <item x="18"/>
        <item x="154"/>
        <item x="34"/>
        <item x="16"/>
        <item x="62"/>
        <item x="253"/>
        <item x="5"/>
        <item x="181"/>
        <item x="213"/>
        <item x="113"/>
        <item x="81"/>
        <item x="171"/>
        <item x="262"/>
        <item x="206"/>
        <item x="89"/>
        <item x="41"/>
        <item x="276"/>
        <item x="80"/>
        <item x="144"/>
        <item x="6"/>
        <item x="58"/>
        <item x="102"/>
        <item x="220"/>
        <item x="15"/>
        <item x="88"/>
        <item x="134"/>
        <item x="281"/>
        <item x="91"/>
        <item x="99"/>
        <item x="146"/>
        <item x="137"/>
        <item x="14"/>
        <item x="190"/>
        <item x="12"/>
        <item x="151"/>
        <item x="266"/>
        <item x="37"/>
        <item x="86"/>
        <item x="22"/>
        <item x="249"/>
        <item x="26"/>
        <item x="45"/>
        <item x="136"/>
        <item x="121"/>
        <item x="50"/>
        <item x="163"/>
        <item x="219"/>
        <item x="189"/>
        <item x="127"/>
        <item x="92"/>
        <item x="143"/>
        <item x="221"/>
        <item x="194"/>
        <item x="224"/>
        <item x="97"/>
        <item x="230"/>
        <item x="31"/>
        <item x="35"/>
        <item x="208"/>
        <item x="215"/>
        <item x="8"/>
        <item x="132"/>
        <item x="155"/>
        <item x="73"/>
        <item x="148"/>
        <item x="274"/>
        <item x="233"/>
        <item x="251"/>
        <item x="83"/>
        <item x="268"/>
        <item x="180"/>
        <item x="90"/>
        <item x="178"/>
        <item x="124"/>
        <item x="145"/>
        <item x="200"/>
        <item x="96"/>
        <item x="153"/>
        <item x="117"/>
        <item x="98"/>
        <item x="51"/>
        <item x="157"/>
        <item x="260"/>
        <item x="149"/>
        <item x="21"/>
        <item x="54"/>
        <item x="48"/>
        <item x="236"/>
        <item x="38"/>
        <item x="101"/>
        <item x="254"/>
        <item x="278"/>
        <item x="238"/>
        <item x="122"/>
        <item x="79"/>
        <item x="139"/>
        <item x="17"/>
        <item x="210"/>
        <item x="64"/>
        <item x="222"/>
        <item x="250"/>
        <item x="243"/>
        <item x="141"/>
        <item x="30"/>
        <item x="66"/>
        <item x="152"/>
        <item x="77"/>
        <item x="248"/>
        <item x="105"/>
        <item x="59"/>
        <item x="129"/>
        <item x="201"/>
        <item x="70"/>
        <item x="4"/>
        <item x="277"/>
        <item x="241"/>
        <item x="191"/>
        <item x="40"/>
        <item x="235"/>
        <item x="2"/>
        <item x="32"/>
        <item x="7"/>
        <item x="9"/>
        <item x="24"/>
        <item x="130"/>
        <item x="75"/>
        <item x="82"/>
        <item x="131"/>
        <item x="119"/>
        <item x="23"/>
        <item x="269"/>
        <item x="226"/>
        <item x="43"/>
        <item x="252"/>
        <item x="118"/>
        <item x="20"/>
        <item x="179"/>
        <item x="267"/>
        <item x="256"/>
        <item x="193"/>
        <item x="63"/>
        <item x="27"/>
        <item x="209"/>
        <item x="229"/>
        <item x="228"/>
        <item x="42"/>
        <item x="205"/>
        <item x="173"/>
        <item x="203"/>
        <item x="284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ST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D7B86-8FCE-4CE5-BB65-6EC018C8850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O18" firstHeaderRow="1" firstDataRow="2" firstDataCol="1"/>
  <pivotFields count="12">
    <pivotField showAll="0">
      <items count="286">
        <item x="182"/>
        <item x="204"/>
        <item x="107"/>
        <item x="103"/>
        <item x="223"/>
        <item x="227"/>
        <item x="109"/>
        <item x="46"/>
        <item x="242"/>
        <item x="106"/>
        <item x="280"/>
        <item x="28"/>
        <item x="234"/>
        <item x="44"/>
        <item x="177"/>
        <item x="1"/>
        <item x="244"/>
        <item x="36"/>
        <item x="84"/>
        <item x="216"/>
        <item x="19"/>
        <item x="147"/>
        <item x="237"/>
        <item x="65"/>
        <item x="71"/>
        <item x="183"/>
        <item x="142"/>
        <item x="212"/>
        <item x="111"/>
        <item x="265"/>
        <item x="214"/>
        <item x="172"/>
        <item x="160"/>
        <item x="104"/>
        <item x="94"/>
        <item x="128"/>
        <item x="247"/>
        <item x="231"/>
        <item x="199"/>
        <item x="150"/>
        <item x="166"/>
        <item x="168"/>
        <item x="116"/>
        <item x="207"/>
        <item x="192"/>
        <item x="164"/>
        <item x="74"/>
        <item x="135"/>
        <item x="218"/>
        <item x="25"/>
        <item x="217"/>
        <item x="232"/>
        <item x="261"/>
        <item x="55"/>
        <item x="245"/>
        <item x="13"/>
        <item x="264"/>
        <item x="67"/>
        <item x="270"/>
        <item x="76"/>
        <item x="49"/>
        <item x="87"/>
        <item x="169"/>
        <item x="202"/>
        <item x="211"/>
        <item x="72"/>
        <item x="93"/>
        <item x="188"/>
        <item x="239"/>
        <item x="170"/>
        <item x="283"/>
        <item x="95"/>
        <item x="61"/>
        <item x="263"/>
        <item x="10"/>
        <item x="259"/>
        <item x="115"/>
        <item x="140"/>
        <item x="114"/>
        <item x="39"/>
        <item x="78"/>
        <item x="195"/>
        <item x="279"/>
        <item x="272"/>
        <item x="174"/>
        <item x="158"/>
        <item x="185"/>
        <item x="0"/>
        <item x="159"/>
        <item x="110"/>
        <item x="57"/>
        <item x="161"/>
        <item x="257"/>
        <item x="225"/>
        <item x="184"/>
        <item x="186"/>
        <item x="175"/>
        <item x="156"/>
        <item x="275"/>
        <item x="29"/>
        <item x="176"/>
        <item x="255"/>
        <item x="52"/>
        <item x="240"/>
        <item x="258"/>
        <item x="126"/>
        <item x="68"/>
        <item x="196"/>
        <item x="123"/>
        <item x="85"/>
        <item x="112"/>
        <item x="47"/>
        <item x="56"/>
        <item x="100"/>
        <item x="11"/>
        <item x="138"/>
        <item x="162"/>
        <item x="198"/>
        <item x="246"/>
        <item x="187"/>
        <item x="53"/>
        <item x="60"/>
        <item x="197"/>
        <item x="133"/>
        <item x="120"/>
        <item x="33"/>
        <item x="282"/>
        <item x="69"/>
        <item x="167"/>
        <item x="125"/>
        <item x="108"/>
        <item x="165"/>
        <item x="273"/>
        <item x="271"/>
        <item x="3"/>
        <item x="18"/>
        <item x="154"/>
        <item x="34"/>
        <item x="16"/>
        <item x="62"/>
        <item x="253"/>
        <item x="5"/>
        <item x="181"/>
        <item x="213"/>
        <item x="113"/>
        <item x="81"/>
        <item x="171"/>
        <item x="262"/>
        <item x="206"/>
        <item x="89"/>
        <item x="41"/>
        <item x="276"/>
        <item x="80"/>
        <item x="144"/>
        <item x="6"/>
        <item x="58"/>
        <item x="102"/>
        <item x="220"/>
        <item x="15"/>
        <item x="88"/>
        <item x="134"/>
        <item x="281"/>
        <item x="91"/>
        <item x="99"/>
        <item x="146"/>
        <item x="137"/>
        <item x="14"/>
        <item x="190"/>
        <item x="12"/>
        <item x="151"/>
        <item x="266"/>
        <item x="37"/>
        <item x="86"/>
        <item x="22"/>
        <item x="249"/>
        <item x="26"/>
        <item x="45"/>
        <item x="136"/>
        <item x="121"/>
        <item x="50"/>
        <item x="163"/>
        <item x="219"/>
        <item x="189"/>
        <item x="127"/>
        <item x="92"/>
        <item x="143"/>
        <item x="221"/>
        <item x="194"/>
        <item x="224"/>
        <item x="97"/>
        <item x="230"/>
        <item x="31"/>
        <item x="35"/>
        <item x="208"/>
        <item x="215"/>
        <item x="8"/>
        <item x="132"/>
        <item x="155"/>
        <item x="73"/>
        <item x="148"/>
        <item x="274"/>
        <item x="233"/>
        <item x="251"/>
        <item x="83"/>
        <item x="268"/>
        <item x="180"/>
        <item x="90"/>
        <item x="178"/>
        <item x="124"/>
        <item x="145"/>
        <item x="200"/>
        <item x="96"/>
        <item x="153"/>
        <item x="117"/>
        <item x="98"/>
        <item x="51"/>
        <item x="157"/>
        <item x="260"/>
        <item x="149"/>
        <item x="21"/>
        <item x="54"/>
        <item x="48"/>
        <item x="236"/>
        <item x="38"/>
        <item x="101"/>
        <item x="254"/>
        <item x="278"/>
        <item x="238"/>
        <item x="122"/>
        <item x="79"/>
        <item x="139"/>
        <item x="17"/>
        <item x="210"/>
        <item x="64"/>
        <item x="222"/>
        <item x="250"/>
        <item x="243"/>
        <item x="141"/>
        <item x="30"/>
        <item x="66"/>
        <item x="152"/>
        <item x="77"/>
        <item x="248"/>
        <item x="105"/>
        <item x="59"/>
        <item x="129"/>
        <item x="201"/>
        <item x="70"/>
        <item x="4"/>
        <item x="277"/>
        <item x="241"/>
        <item x="191"/>
        <item x="40"/>
        <item x="235"/>
        <item x="2"/>
        <item x="32"/>
        <item x="7"/>
        <item x="9"/>
        <item x="24"/>
        <item x="130"/>
        <item x="75"/>
        <item x="82"/>
        <item x="131"/>
        <item x="119"/>
        <item x="23"/>
        <item x="269"/>
        <item x="226"/>
        <item x="43"/>
        <item x="252"/>
        <item x="118"/>
        <item x="20"/>
        <item x="179"/>
        <item x="267"/>
        <item x="256"/>
        <item x="193"/>
        <item x="63"/>
        <item x="27"/>
        <item x="209"/>
        <item x="229"/>
        <item x="228"/>
        <item x="42"/>
        <item x="205"/>
        <item x="173"/>
        <item x="203"/>
        <item x="284"/>
        <item t="default"/>
      </items>
    </pivotField>
    <pivotField axis="axisCol" showAll="0">
      <items count="10">
        <item x="4"/>
        <item x="1"/>
        <item x="2"/>
        <item x="6"/>
        <item x="0"/>
        <item x="3"/>
        <item x="7"/>
        <item x="5"/>
        <item x="8"/>
        <item t="default"/>
      </items>
    </pivotField>
    <pivotField axis="axisRow" showAll="0">
      <items count="12">
        <item x="1"/>
        <item x="2"/>
        <item x="5"/>
        <item x="4"/>
        <item x="0"/>
        <item x="8"/>
        <item x="9"/>
        <item x="7"/>
        <item x="3"/>
        <item x="6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 Expens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4A520-A9A1-4916-BDEE-A7D4163FFFB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31" firstHeaderRow="1" firstDataRow="1" firstDataCol="1"/>
  <pivotFields count="12">
    <pivotField axis="axisRow" showAll="0">
      <items count="286">
        <item x="182"/>
        <item x="204"/>
        <item x="107"/>
        <item x="103"/>
        <item x="223"/>
        <item x="227"/>
        <item x="109"/>
        <item x="46"/>
        <item x="242"/>
        <item x="106"/>
        <item x="280"/>
        <item x="28"/>
        <item x="234"/>
        <item x="44"/>
        <item x="177"/>
        <item x="1"/>
        <item x="244"/>
        <item x="36"/>
        <item x="84"/>
        <item x="216"/>
        <item x="19"/>
        <item x="147"/>
        <item x="237"/>
        <item x="65"/>
        <item x="71"/>
        <item x="183"/>
        <item x="142"/>
        <item x="212"/>
        <item x="111"/>
        <item x="265"/>
        <item x="214"/>
        <item x="172"/>
        <item x="160"/>
        <item x="104"/>
        <item x="94"/>
        <item x="128"/>
        <item x="247"/>
        <item x="231"/>
        <item x="199"/>
        <item x="150"/>
        <item x="166"/>
        <item x="168"/>
        <item x="116"/>
        <item x="207"/>
        <item x="192"/>
        <item x="164"/>
        <item x="74"/>
        <item x="135"/>
        <item x="218"/>
        <item x="25"/>
        <item x="217"/>
        <item x="232"/>
        <item x="261"/>
        <item x="55"/>
        <item x="245"/>
        <item x="13"/>
        <item x="264"/>
        <item x="67"/>
        <item x="270"/>
        <item x="76"/>
        <item x="49"/>
        <item x="87"/>
        <item x="169"/>
        <item x="202"/>
        <item x="211"/>
        <item x="72"/>
        <item x="93"/>
        <item x="188"/>
        <item x="239"/>
        <item x="170"/>
        <item x="283"/>
        <item x="95"/>
        <item x="61"/>
        <item x="263"/>
        <item x="10"/>
        <item x="259"/>
        <item x="115"/>
        <item x="140"/>
        <item x="114"/>
        <item x="39"/>
        <item x="78"/>
        <item x="195"/>
        <item x="279"/>
        <item x="272"/>
        <item x="174"/>
        <item x="158"/>
        <item x="185"/>
        <item x="0"/>
        <item x="159"/>
        <item x="110"/>
        <item x="57"/>
        <item x="161"/>
        <item x="257"/>
        <item x="225"/>
        <item x="184"/>
        <item x="186"/>
        <item x="175"/>
        <item x="156"/>
        <item x="275"/>
        <item x="29"/>
        <item x="176"/>
        <item x="255"/>
        <item x="52"/>
        <item x="240"/>
        <item x="258"/>
        <item x="126"/>
        <item x="68"/>
        <item x="196"/>
        <item x="123"/>
        <item x="85"/>
        <item x="112"/>
        <item x="47"/>
        <item x="56"/>
        <item x="100"/>
        <item x="11"/>
        <item x="138"/>
        <item x="162"/>
        <item x="198"/>
        <item x="246"/>
        <item x="187"/>
        <item x="53"/>
        <item x="60"/>
        <item x="197"/>
        <item x="133"/>
        <item x="120"/>
        <item x="33"/>
        <item x="282"/>
        <item x="69"/>
        <item x="167"/>
        <item x="125"/>
        <item x="108"/>
        <item x="165"/>
        <item x="273"/>
        <item x="271"/>
        <item x="3"/>
        <item x="18"/>
        <item x="154"/>
        <item x="34"/>
        <item x="16"/>
        <item x="62"/>
        <item x="253"/>
        <item x="5"/>
        <item x="181"/>
        <item x="213"/>
        <item x="113"/>
        <item x="81"/>
        <item x="171"/>
        <item x="262"/>
        <item x="206"/>
        <item x="89"/>
        <item x="41"/>
        <item x="276"/>
        <item x="80"/>
        <item x="144"/>
        <item x="6"/>
        <item x="58"/>
        <item x="102"/>
        <item x="220"/>
        <item x="15"/>
        <item x="88"/>
        <item x="134"/>
        <item x="281"/>
        <item x="91"/>
        <item x="99"/>
        <item x="146"/>
        <item x="137"/>
        <item x="14"/>
        <item x="190"/>
        <item x="12"/>
        <item x="151"/>
        <item x="266"/>
        <item x="37"/>
        <item x="86"/>
        <item x="22"/>
        <item x="249"/>
        <item x="26"/>
        <item x="45"/>
        <item x="136"/>
        <item x="121"/>
        <item x="50"/>
        <item x="163"/>
        <item x="219"/>
        <item x="189"/>
        <item x="127"/>
        <item x="92"/>
        <item x="143"/>
        <item x="221"/>
        <item x="194"/>
        <item x="224"/>
        <item x="97"/>
        <item x="230"/>
        <item x="31"/>
        <item x="35"/>
        <item x="208"/>
        <item x="215"/>
        <item x="8"/>
        <item x="132"/>
        <item x="155"/>
        <item x="73"/>
        <item x="148"/>
        <item x="274"/>
        <item x="233"/>
        <item x="251"/>
        <item x="83"/>
        <item x="268"/>
        <item x="180"/>
        <item x="90"/>
        <item x="178"/>
        <item x="124"/>
        <item x="145"/>
        <item x="200"/>
        <item x="96"/>
        <item x="153"/>
        <item x="117"/>
        <item x="98"/>
        <item x="51"/>
        <item x="157"/>
        <item x="260"/>
        <item x="149"/>
        <item x="21"/>
        <item x="54"/>
        <item x="48"/>
        <item x="236"/>
        <item x="38"/>
        <item x="101"/>
        <item x="254"/>
        <item x="278"/>
        <item x="238"/>
        <item x="122"/>
        <item x="79"/>
        <item x="139"/>
        <item x="17"/>
        <item x="210"/>
        <item x="64"/>
        <item x="222"/>
        <item x="250"/>
        <item x="243"/>
        <item x="141"/>
        <item x="30"/>
        <item x="66"/>
        <item x="152"/>
        <item x="77"/>
        <item x="248"/>
        <item x="105"/>
        <item x="59"/>
        <item x="129"/>
        <item x="201"/>
        <item x="70"/>
        <item x="4"/>
        <item x="277"/>
        <item x="241"/>
        <item x="191"/>
        <item x="40"/>
        <item x="235"/>
        <item x="2"/>
        <item x="32"/>
        <item x="7"/>
        <item x="9"/>
        <item x="24"/>
        <item x="130"/>
        <item x="75"/>
        <item x="82"/>
        <item x="131"/>
        <item x="119"/>
        <item x="23"/>
        <item x="269"/>
        <item x="226"/>
        <item x="43"/>
        <item x="252"/>
        <item x="118"/>
        <item x="20"/>
        <item x="179"/>
        <item x="267"/>
        <item x="256"/>
        <item x="193"/>
        <item x="63"/>
        <item x="27"/>
        <item x="209"/>
        <item x="229"/>
        <item x="228"/>
        <item x="42"/>
        <item x="205"/>
        <item x="173"/>
        <item x="203"/>
        <item x="28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defaultSubtotal="0">
      <items count="14">
        <item h="1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h="1" sd="0" x="0"/>
        <item x="1"/>
        <item x="2"/>
        <item sd="0" x="3"/>
      </items>
    </pivotField>
  </pivotFields>
  <rowFields count="3">
    <field x="11"/>
    <field x="9"/>
    <field x="0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 Expenses" fld="7" baseField="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71D9F-AE2A-4F61-B6DA-7794F77F07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31" firstHeaderRow="1" firstDataRow="1" firstDataCol="1"/>
  <pivotFields count="12">
    <pivotField showAll="0">
      <items count="286">
        <item x="182"/>
        <item x="204"/>
        <item x="107"/>
        <item x="103"/>
        <item x="223"/>
        <item x="227"/>
        <item x="109"/>
        <item x="46"/>
        <item x="242"/>
        <item x="106"/>
        <item x="280"/>
        <item x="28"/>
        <item x="234"/>
        <item x="44"/>
        <item x="177"/>
        <item x="1"/>
        <item x="244"/>
        <item x="36"/>
        <item x="84"/>
        <item x="216"/>
        <item x="19"/>
        <item x="147"/>
        <item x="237"/>
        <item x="65"/>
        <item x="71"/>
        <item x="183"/>
        <item x="142"/>
        <item x="212"/>
        <item x="111"/>
        <item x="265"/>
        <item x="214"/>
        <item x="172"/>
        <item x="160"/>
        <item x="104"/>
        <item x="94"/>
        <item x="128"/>
        <item x="247"/>
        <item x="231"/>
        <item x="199"/>
        <item x="150"/>
        <item x="166"/>
        <item x="168"/>
        <item x="116"/>
        <item x="207"/>
        <item x="192"/>
        <item x="164"/>
        <item x="74"/>
        <item x="135"/>
        <item x="218"/>
        <item x="25"/>
        <item x="217"/>
        <item x="232"/>
        <item x="261"/>
        <item x="55"/>
        <item x="245"/>
        <item x="13"/>
        <item x="264"/>
        <item x="67"/>
        <item x="270"/>
        <item x="76"/>
        <item x="49"/>
        <item x="87"/>
        <item x="169"/>
        <item x="202"/>
        <item x="211"/>
        <item x="72"/>
        <item x="93"/>
        <item x="188"/>
        <item x="239"/>
        <item x="170"/>
        <item x="283"/>
        <item x="95"/>
        <item x="61"/>
        <item x="263"/>
        <item x="10"/>
        <item x="259"/>
        <item x="115"/>
        <item x="140"/>
        <item x="114"/>
        <item x="39"/>
        <item x="78"/>
        <item x="195"/>
        <item x="279"/>
        <item x="272"/>
        <item x="174"/>
        <item x="158"/>
        <item x="185"/>
        <item x="0"/>
        <item x="159"/>
        <item x="110"/>
        <item x="57"/>
        <item x="161"/>
        <item x="257"/>
        <item x="225"/>
        <item x="184"/>
        <item x="186"/>
        <item x="175"/>
        <item x="156"/>
        <item x="275"/>
        <item x="29"/>
        <item x="176"/>
        <item x="255"/>
        <item x="52"/>
        <item x="240"/>
        <item x="258"/>
        <item x="126"/>
        <item x="68"/>
        <item x="196"/>
        <item x="123"/>
        <item x="85"/>
        <item x="112"/>
        <item x="47"/>
        <item x="56"/>
        <item x="100"/>
        <item x="11"/>
        <item x="138"/>
        <item x="162"/>
        <item x="198"/>
        <item x="246"/>
        <item x="187"/>
        <item x="53"/>
        <item x="60"/>
        <item x="197"/>
        <item x="133"/>
        <item x="120"/>
        <item x="33"/>
        <item x="282"/>
        <item x="69"/>
        <item x="167"/>
        <item x="125"/>
        <item x="108"/>
        <item x="165"/>
        <item x="273"/>
        <item x="271"/>
        <item x="3"/>
        <item x="18"/>
        <item x="154"/>
        <item x="34"/>
        <item x="16"/>
        <item x="62"/>
        <item x="253"/>
        <item x="5"/>
        <item x="181"/>
        <item x="213"/>
        <item x="113"/>
        <item x="81"/>
        <item x="171"/>
        <item x="262"/>
        <item x="206"/>
        <item x="89"/>
        <item x="41"/>
        <item x="276"/>
        <item x="80"/>
        <item x="144"/>
        <item x="6"/>
        <item x="58"/>
        <item x="102"/>
        <item x="220"/>
        <item x="15"/>
        <item x="88"/>
        <item x="134"/>
        <item x="281"/>
        <item x="91"/>
        <item x="99"/>
        <item x="146"/>
        <item x="137"/>
        <item x="14"/>
        <item x="190"/>
        <item x="12"/>
        <item x="151"/>
        <item x="266"/>
        <item x="37"/>
        <item x="86"/>
        <item x="22"/>
        <item x="249"/>
        <item x="26"/>
        <item x="45"/>
        <item x="136"/>
        <item x="121"/>
        <item x="50"/>
        <item x="163"/>
        <item x="219"/>
        <item x="189"/>
        <item x="127"/>
        <item x="92"/>
        <item x="143"/>
        <item x="221"/>
        <item x="194"/>
        <item x="224"/>
        <item x="97"/>
        <item x="230"/>
        <item x="31"/>
        <item x="35"/>
        <item x="208"/>
        <item x="215"/>
        <item x="8"/>
        <item x="132"/>
        <item x="155"/>
        <item x="73"/>
        <item x="148"/>
        <item x="274"/>
        <item x="233"/>
        <item x="251"/>
        <item x="83"/>
        <item x="268"/>
        <item x="180"/>
        <item x="90"/>
        <item x="178"/>
        <item x="124"/>
        <item x="145"/>
        <item x="200"/>
        <item x="96"/>
        <item x="153"/>
        <item x="117"/>
        <item x="98"/>
        <item x="51"/>
        <item x="157"/>
        <item x="260"/>
        <item x="149"/>
        <item x="21"/>
        <item x="54"/>
        <item x="48"/>
        <item x="236"/>
        <item x="38"/>
        <item x="101"/>
        <item x="254"/>
        <item x="278"/>
        <item x="238"/>
        <item x="122"/>
        <item x="79"/>
        <item x="139"/>
        <item x="17"/>
        <item x="210"/>
        <item x="64"/>
        <item x="222"/>
        <item x="250"/>
        <item x="243"/>
        <item x="141"/>
        <item x="30"/>
        <item x="66"/>
        <item x="152"/>
        <item x="77"/>
        <item x="248"/>
        <item x="105"/>
        <item x="59"/>
        <item x="129"/>
        <item x="201"/>
        <item x="70"/>
        <item x="4"/>
        <item x="277"/>
        <item x="241"/>
        <item x="191"/>
        <item x="40"/>
        <item x="235"/>
        <item x="2"/>
        <item x="32"/>
        <item x="7"/>
        <item x="9"/>
        <item x="24"/>
        <item x="130"/>
        <item x="75"/>
        <item x="82"/>
        <item x="131"/>
        <item x="119"/>
        <item x="23"/>
        <item x="269"/>
        <item x="226"/>
        <item x="43"/>
        <item x="252"/>
        <item x="118"/>
        <item x="20"/>
        <item x="179"/>
        <item x="267"/>
        <item x="256"/>
        <item x="193"/>
        <item x="63"/>
        <item x="27"/>
        <item x="209"/>
        <item x="229"/>
        <item x="228"/>
        <item x="42"/>
        <item x="205"/>
        <item x="173"/>
        <item x="203"/>
        <item x="28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defaultSubtotal="0">
      <items count="14">
        <item h="1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11"/>
    <field x="9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Average of Total Expenses" fld="7" subtotal="average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91D46D-2E91-4231-8117-FCF4ECB5D554}" name="Table2" displayName="Table2" ref="A3:I368" totalsRowShown="0" headerRowDxfId="28" dataDxfId="27">
  <autoFilter ref="A3:I368" xr:uid="{0A91D46D-2E91-4231-8117-FCF4ECB5D554}">
    <filterColumn colId="0">
      <filters>
        <dateGroupItem year="2023" month="1" dateTimeGrouping="month"/>
        <dateGroupItem year="2023" month="2" dateTimeGrouping="month"/>
        <dateGroupItem year="2023" month="3" dateTimeGrouping="month"/>
        <dateGroupItem year="2023" month="4" dateTimeGrouping="month"/>
        <dateGroupItem year="2023" month="5" dateTimeGrouping="month"/>
        <dateGroupItem year="2023" month="6" dateTimeGrouping="month"/>
        <dateGroupItem year="2023" month="7" dateTimeGrouping="month"/>
        <dateGroupItem year="2023" month="8" dateTimeGrouping="month"/>
        <dateGroupItem year="2023" month="9" dateTimeGrouping="month"/>
        <dateGroupItem year="2023" month="10" dateTimeGrouping="month"/>
        <dateGroupItem year="2023" month="11" dateTimeGrouping="month"/>
      </filters>
    </filterColumn>
  </autoFilter>
  <sortState xmlns:xlrd2="http://schemas.microsoft.com/office/spreadsheetml/2017/richdata2" ref="A4:I367">
    <sortCondition ref="A3:A368"/>
  </sortState>
  <tableColumns count="9">
    <tableColumn id="1" xr3:uid="{1479C4AA-74D3-4CCC-9929-55D345F2851D}" name="Date" dataDxfId="26"/>
    <tableColumn id="2" xr3:uid="{22AB3653-1636-4BF5-A588-2875BDBC31AE}" name="Department" dataDxfId="25"/>
    <tableColumn id="3" xr3:uid="{E2F33CFE-2514-46F6-AEEE-2E5DE78FE557}" name="Expense Category" dataDxfId="24"/>
    <tableColumn id="4" xr3:uid="{BEB2E769-B433-4BB4-9945-E2FCAFE71BB5}" name="Vendor" dataDxfId="23"/>
    <tableColumn id="5" xr3:uid="{08AB786F-DD8D-4FF0-B52C-CE358FAC0BF7}" name="Amount" dataDxfId="22"/>
    <tableColumn id="6" xr3:uid="{FD4B6E56-7001-44D9-8FD3-046A819BB6FC}" name="GST%" dataDxfId="21"/>
    <tableColumn id="7" xr3:uid="{76872F0B-8CDA-4D95-A2D9-C68F7C26D407}" name="GST Amount" dataDxfId="20"/>
    <tableColumn id="8" xr3:uid="{75307C53-ED22-423E-9A9B-220C89E65AA9}" name="Total Expenses" dataDxfId="19"/>
    <tableColumn id="9" xr3:uid="{B85E179C-9D14-4EA1-8511-5F9828411FA5}" name="Cost Center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213E60-8DF2-443F-98D7-98C7673AA0AF}" name="Table4" displayName="Table4" ref="A1:E25" totalsRowShown="0" headerRowDxfId="17" dataDxfId="16">
  <autoFilter ref="A1:E25" xr:uid="{67213E60-8DF2-443F-98D7-98C7673AA0AF}"/>
  <tableColumns count="5">
    <tableColumn id="1" xr3:uid="{3895A203-27CA-457D-B6B4-C57A2B7C6EF5}" name="MONTH" dataDxfId="15"/>
    <tableColumn id="2" xr3:uid="{8D74720E-F78B-4251-B03A-65D9B78B355D}" name="ACTUAL EXPENSES" dataDxfId="14"/>
    <tableColumn id="3" xr3:uid="{49DE461A-BEBC-4685-A9F9-A179FF596CED}" name="AVG SPEEND" dataDxfId="13"/>
    <tableColumn id="4" xr3:uid="{69AEBB61-84C4-4582-BAB4-1DF59D522443}" name="GROWTH %" dataDxfId="12" dataCellStyle="Percent">
      <calculatedColumnFormula>B3/B2-1</calculatedColumnFormula>
    </tableColumn>
    <tableColumn id="5" xr3:uid="{211E3B70-1DAB-404F-9F0D-F9DC65337003}" name="NEXT YEAR BUDGET" dataDxfId="11">
      <calculatedColumnFormula>B2*(1+D2)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ABABC8-458C-4653-A7E1-95F59CCDAA77}" name="Table6" displayName="Table6" ref="E1:H2" totalsRowShown="0" headerRowDxfId="10" dataDxfId="9">
  <autoFilter ref="E1:H2" xr:uid="{7CABABC8-458C-4653-A7E1-95F59CCDAA77}"/>
  <tableColumns count="4">
    <tableColumn id="1" xr3:uid="{24ECAD47-F34E-4FF2-AF70-0661FCEFF123}" name="MONTH" dataDxfId="3"/>
    <tableColumn id="2" xr3:uid="{85C92CE4-021D-4016-9B07-82B69DBF5275}" name="FORECAST GROWTH" dataDxfId="2" dataCellStyle="Percent">
      <calculatedColumnFormula>AVERAGE(C2:C25)</calculatedColumnFormula>
    </tableColumn>
    <tableColumn id="3" xr3:uid="{B9336936-D0C4-4D9E-A04B-CDF2EAD52D88}" name="FORECAST MOVING AVG" dataDxfId="0">
      <calculatedColumnFormula>AVERAGE(B2:B25)</calculatedColumnFormula>
    </tableColumn>
    <tableColumn id="4" xr3:uid="{0A9E7318-9F03-4C84-A2F9-9E54D2012DD4}" name="FORECAST ETS" dataDxfId="1">
      <calculatedColumnFormula>_xlfn.FORECAST.ETS(E2,B2:B25,A2:A25)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79734F-F4F0-4B88-B999-28748EB9E5B7}" name="Table5" displayName="Table5" ref="A1:C25" totalsRowShown="0" headerRowDxfId="8" dataDxfId="7">
  <autoFilter ref="A1:C25" xr:uid="{2979734F-F4F0-4B88-B999-28748EB9E5B7}"/>
  <tableColumns count="3">
    <tableColumn id="1" xr3:uid="{7EB0193E-942D-43C0-AC85-338DDF4BED7B}" name="MONTH" dataDxfId="6"/>
    <tableColumn id="2" xr3:uid="{76AF6EA2-3154-43AC-A2A0-68C98EFA1DAE}" name="ACTUAL" dataDxfId="5">
      <calculatedColumnFormula>GETPIVOTDATA("Total Expenses",'PIVOT TABLE'!$A$4,"Months (Date)",1,"Years (Date)",2023)</calculatedColumnFormula>
    </tableColumn>
    <tableColumn id="3" xr3:uid="{0DEC2A47-245A-4E28-BF42-85C48219A9D3}" name="FORECAST GROWTH" dataDxfId="4">
      <calculatedColumnFormula>B3/B2-1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6616-1AE2-48A1-A7D6-4AB8A94D0D2F}">
  <dimension ref="A1:F6"/>
  <sheetViews>
    <sheetView workbookViewId="0">
      <selection activeCell="Q12" sqref="Q12"/>
    </sheetView>
  </sheetViews>
  <sheetFormatPr defaultRowHeight="14.4" x14ac:dyDescent="0.3"/>
  <sheetData>
    <row r="1" spans="1:6" x14ac:dyDescent="0.3">
      <c r="A1" s="6" t="s">
        <v>82</v>
      </c>
      <c r="B1" s="6"/>
    </row>
    <row r="2" spans="1:6" x14ac:dyDescent="0.3">
      <c r="A2" s="6">
        <v>1</v>
      </c>
      <c r="B2" s="6" t="s">
        <v>83</v>
      </c>
      <c r="C2" s="6"/>
      <c r="D2" s="6"/>
      <c r="E2" s="6"/>
      <c r="F2" s="6"/>
    </row>
    <row r="3" spans="1:6" x14ac:dyDescent="0.3">
      <c r="A3" s="6">
        <v>2</v>
      </c>
      <c r="B3" s="6" t="s">
        <v>84</v>
      </c>
      <c r="C3" s="6"/>
      <c r="D3" s="6"/>
      <c r="E3" s="6"/>
      <c r="F3" s="6"/>
    </row>
    <row r="4" spans="1:6" x14ac:dyDescent="0.3">
      <c r="A4" s="6">
        <v>3</v>
      </c>
      <c r="B4" s="6" t="s">
        <v>85</v>
      </c>
      <c r="C4" s="6"/>
      <c r="D4" s="6"/>
      <c r="E4" s="6"/>
      <c r="F4" s="6"/>
    </row>
    <row r="5" spans="1:6" x14ac:dyDescent="0.3">
      <c r="A5" s="6">
        <v>4</v>
      </c>
      <c r="B5" s="6" t="s">
        <v>86</v>
      </c>
      <c r="C5" s="6"/>
      <c r="D5" s="6"/>
      <c r="E5" s="6"/>
      <c r="F5" s="6"/>
    </row>
    <row r="6" spans="1:6" x14ac:dyDescent="0.3">
      <c r="A6" s="6"/>
      <c r="B6" s="6"/>
      <c r="C6" s="6"/>
      <c r="D6" s="6"/>
      <c r="E6" s="6"/>
      <c r="F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8"/>
  <sheetViews>
    <sheetView zoomScale="71" workbookViewId="0">
      <selection activeCell="M41" sqref="M41"/>
    </sheetView>
  </sheetViews>
  <sheetFormatPr defaultRowHeight="15.6" x14ac:dyDescent="0.3"/>
  <cols>
    <col min="1" max="1" width="11.77734375" style="1" bestFit="1" customWidth="1"/>
    <col min="2" max="2" width="17.5546875" style="1" bestFit="1" customWidth="1"/>
    <col min="3" max="3" width="22.6640625" style="1" bestFit="1" customWidth="1"/>
    <col min="4" max="4" width="18" style="1" bestFit="1" customWidth="1"/>
    <col min="5" max="5" width="13.6640625" style="1" bestFit="1" customWidth="1"/>
    <col min="6" max="6" width="11.33203125" style="1" bestFit="1" customWidth="1"/>
    <col min="7" max="7" width="17.6640625" style="1" bestFit="1" customWidth="1"/>
    <col min="8" max="8" width="20" style="1" bestFit="1" customWidth="1"/>
    <col min="9" max="9" width="17" style="1" bestFit="1" customWidth="1"/>
    <col min="10" max="16384" width="8.88671875" style="1"/>
  </cols>
  <sheetData>
    <row r="1" spans="1:9" ht="14.4" customHeight="1" x14ac:dyDescent="0.3">
      <c r="A1" s="21" t="s">
        <v>17</v>
      </c>
      <c r="B1" s="22"/>
      <c r="C1" s="22"/>
      <c r="D1" s="22"/>
      <c r="E1" s="22"/>
      <c r="F1" s="22"/>
      <c r="G1" s="22"/>
      <c r="H1" s="22"/>
      <c r="I1" s="22"/>
    </row>
    <row r="2" spans="1:9" x14ac:dyDescent="0.3">
      <c r="A2" s="22"/>
      <c r="B2" s="22"/>
      <c r="C2" s="22"/>
      <c r="D2" s="22"/>
      <c r="E2" s="22"/>
      <c r="F2" s="22"/>
      <c r="G2" s="22"/>
      <c r="H2" s="22"/>
      <c r="I2" s="22"/>
    </row>
    <row r="3" spans="1:9" x14ac:dyDescent="0.3">
      <c r="A3" s="1" t="s">
        <v>9</v>
      </c>
      <c r="B3" s="1" t="s">
        <v>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16</v>
      </c>
      <c r="H3" s="1" t="s">
        <v>14</v>
      </c>
      <c r="I3" s="1" t="s">
        <v>15</v>
      </c>
    </row>
    <row r="4" spans="1:9" hidden="1" x14ac:dyDescent="0.3">
      <c r="A4" s="2">
        <f t="shared" ref="A4:A67" ca="1" si="0">RANDBETWEEN(DATE(2023,1,1), DATE(2024,12,31))</f>
        <v>45063</v>
      </c>
      <c r="B4" s="1" t="str">
        <f t="shared" ref="B4:B67" ca="1" si="1">CHOOSE(RANDBETWEEN(1,8),"HR","Finance","Operations","IT","Marketing","Sales","Procurement","Admin")</f>
        <v>HR</v>
      </c>
      <c r="C4" s="1" t="str">
        <f t="shared" ref="C4:C67" ca="1" si="2">CHOOSE(RANDBETWEEN(1,10),"Travel","Office Supplies","Salaries","Maintenance","Utilities","Software","Training","Marketing Spend","Transportation","Miscellaneous")</f>
        <v>Office Supplies</v>
      </c>
      <c r="D4" s="1" t="str">
        <f t="shared" ref="D4:D67" ca="1" si="3">CHOOSE(RANDBETWEEN(1,10),
"Infoserve Pvt Ltd",
"Global Traders",
"Alpha Logistics",
"Bright Solutions",
"Star Technologies",
"Urban Office Mart",
"QuickFix Services",
"Skyline Marketing",
"Rapid Transport",
"Universal Systems")</f>
        <v>QuickFix Services</v>
      </c>
      <c r="E4" s="1">
        <f t="shared" ref="E4:E67" ca="1" si="4">RANDBETWEEN(500,50000)</f>
        <v>831</v>
      </c>
      <c r="F4" s="1">
        <f t="shared" ref="F4:F67" ca="1" si="5">CHOOSE(RANDBETWEEN(1,3),5,12,18)</f>
        <v>18</v>
      </c>
      <c r="G4" s="1">
        <f t="shared" ref="G4:G67" ca="1" si="6">E4*F4/100</f>
        <v>149.58000000000001</v>
      </c>
      <c r="H4" s="1">
        <f t="shared" ref="H4:H67" ca="1" si="7">E4+G4</f>
        <v>980.58</v>
      </c>
      <c r="I4" s="1" t="str">
        <f t="shared" ref="I4:I67" ca="1" si="8">CHOOSE(RANDBETWEEN(1,6),"CC101","CC102","CC103","CC104","CC105","CC106")</f>
        <v>CC101</v>
      </c>
    </row>
    <row r="5" spans="1:9" hidden="1" x14ac:dyDescent="0.3">
      <c r="A5" s="2">
        <f t="shared" ca="1" si="0"/>
        <v>45625</v>
      </c>
      <c r="B5" s="1" t="str">
        <f t="shared" ca="1" si="1"/>
        <v>Operations</v>
      </c>
      <c r="C5" s="1" t="str">
        <f t="shared" ca="1" si="2"/>
        <v>Software</v>
      </c>
      <c r="D5" s="1" t="str">
        <f t="shared" ca="1" si="3"/>
        <v>Rapid Transport</v>
      </c>
      <c r="E5" s="1">
        <f t="shared" ca="1" si="4"/>
        <v>27751</v>
      </c>
      <c r="F5" s="1">
        <f t="shared" ca="1" si="5"/>
        <v>5</v>
      </c>
      <c r="G5" s="1">
        <f t="shared" ca="1" si="6"/>
        <v>1387.55</v>
      </c>
      <c r="H5" s="1">
        <f t="shared" ca="1" si="7"/>
        <v>29138.55</v>
      </c>
      <c r="I5" s="1" t="str">
        <f t="shared" ca="1" si="8"/>
        <v>CC106</v>
      </c>
    </row>
    <row r="6" spans="1:9" hidden="1" x14ac:dyDescent="0.3">
      <c r="A6" s="2">
        <f t="shared" ca="1" si="0"/>
        <v>45049</v>
      </c>
      <c r="B6" s="1" t="str">
        <f t="shared" ca="1" si="1"/>
        <v>Sales</v>
      </c>
      <c r="C6" s="1" t="str">
        <f t="shared" ca="1" si="2"/>
        <v>Training</v>
      </c>
      <c r="D6" s="1" t="str">
        <f t="shared" ca="1" si="3"/>
        <v>Bright Solutions</v>
      </c>
      <c r="E6" s="1">
        <f t="shared" ca="1" si="4"/>
        <v>27651</v>
      </c>
      <c r="F6" s="1">
        <f t="shared" ca="1" si="5"/>
        <v>12</v>
      </c>
      <c r="G6" s="1">
        <f t="shared" ca="1" si="6"/>
        <v>3318.12</v>
      </c>
      <c r="H6" s="1">
        <f t="shared" ca="1" si="7"/>
        <v>30969.119999999999</v>
      </c>
      <c r="I6" s="1" t="str">
        <f t="shared" ca="1" si="8"/>
        <v>CC105</v>
      </c>
    </row>
    <row r="7" spans="1:9" x14ac:dyDescent="0.3">
      <c r="A7" s="2">
        <f t="shared" ca="1" si="0"/>
        <v>45525</v>
      </c>
      <c r="B7" s="1" t="str">
        <f t="shared" ca="1" si="1"/>
        <v>Finance</v>
      </c>
      <c r="C7" s="1" t="str">
        <f t="shared" ca="1" si="2"/>
        <v>Miscellaneous</v>
      </c>
      <c r="D7" s="1" t="str">
        <f t="shared" ca="1" si="3"/>
        <v>Alpha Logistics</v>
      </c>
      <c r="E7" s="1">
        <f t="shared" ca="1" si="4"/>
        <v>10772</v>
      </c>
      <c r="F7" s="1">
        <f t="shared" ca="1" si="5"/>
        <v>18</v>
      </c>
      <c r="G7" s="1">
        <f t="shared" ca="1" si="6"/>
        <v>1938.96</v>
      </c>
      <c r="H7" s="1">
        <f t="shared" ca="1" si="7"/>
        <v>12710.96</v>
      </c>
      <c r="I7" s="1" t="str">
        <f t="shared" ca="1" si="8"/>
        <v>CC102</v>
      </c>
    </row>
    <row r="8" spans="1:9" hidden="1" x14ac:dyDescent="0.3">
      <c r="A8" s="2">
        <f t="shared" ca="1" si="0"/>
        <v>45520</v>
      </c>
      <c r="B8" s="1" t="str">
        <f t="shared" ca="1" si="1"/>
        <v>IT</v>
      </c>
      <c r="C8" s="1" t="str">
        <f t="shared" ca="1" si="2"/>
        <v>Salaries</v>
      </c>
      <c r="D8" s="1" t="str">
        <f t="shared" ca="1" si="3"/>
        <v>Alpha Logistics</v>
      </c>
      <c r="E8" s="1">
        <f t="shared" ca="1" si="4"/>
        <v>14939</v>
      </c>
      <c r="F8" s="1">
        <f t="shared" ca="1" si="5"/>
        <v>5</v>
      </c>
      <c r="G8" s="1">
        <f t="shared" ca="1" si="6"/>
        <v>746.95</v>
      </c>
      <c r="H8" s="1">
        <f t="shared" ca="1" si="7"/>
        <v>15685.95</v>
      </c>
      <c r="I8" s="1" t="str">
        <f t="shared" ca="1" si="8"/>
        <v>CC104</v>
      </c>
    </row>
    <row r="9" spans="1:9" x14ac:dyDescent="0.3">
      <c r="A9" s="2">
        <f t="shared" ca="1" si="0"/>
        <v>45464</v>
      </c>
      <c r="B9" s="1" t="str">
        <f t="shared" ca="1" si="1"/>
        <v>Finance</v>
      </c>
      <c r="C9" s="1" t="str">
        <f t="shared" ca="1" si="2"/>
        <v>Marketing Spend</v>
      </c>
      <c r="D9" s="1" t="str">
        <f t="shared" ca="1" si="3"/>
        <v>Urban Office Mart</v>
      </c>
      <c r="E9" s="1">
        <f t="shared" ca="1" si="4"/>
        <v>8109</v>
      </c>
      <c r="F9" s="1">
        <f t="shared" ca="1" si="5"/>
        <v>5</v>
      </c>
      <c r="G9" s="1">
        <f t="shared" ca="1" si="6"/>
        <v>405.45</v>
      </c>
      <c r="H9" s="1">
        <f t="shared" ca="1" si="7"/>
        <v>8514.4500000000007</v>
      </c>
      <c r="I9" s="1" t="str">
        <f t="shared" ca="1" si="8"/>
        <v>CC101</v>
      </c>
    </row>
    <row r="10" spans="1:9" hidden="1" x14ac:dyDescent="0.3">
      <c r="A10" s="2">
        <f t="shared" ca="1" si="0"/>
        <v>45464</v>
      </c>
      <c r="B10" s="1" t="str">
        <f t="shared" ca="1" si="1"/>
        <v>Sales</v>
      </c>
      <c r="C10" s="1" t="str">
        <f t="shared" ca="1" si="2"/>
        <v>Transportation</v>
      </c>
      <c r="D10" s="1" t="str">
        <f t="shared" ca="1" si="3"/>
        <v>Bright Solutions</v>
      </c>
      <c r="E10" s="1">
        <f t="shared" ca="1" si="4"/>
        <v>14974</v>
      </c>
      <c r="F10" s="1">
        <f t="shared" ca="1" si="5"/>
        <v>18</v>
      </c>
      <c r="G10" s="1">
        <f t="shared" ca="1" si="6"/>
        <v>2695.32</v>
      </c>
      <c r="H10" s="1">
        <f t="shared" ca="1" si="7"/>
        <v>17669.32</v>
      </c>
      <c r="I10" s="1" t="str">
        <f t="shared" ca="1" si="8"/>
        <v>CC106</v>
      </c>
    </row>
    <row r="11" spans="1:9" x14ac:dyDescent="0.3">
      <c r="A11" s="2">
        <f t="shared" ca="1" si="0"/>
        <v>45132</v>
      </c>
      <c r="B11" s="1" t="str">
        <f t="shared" ca="1" si="1"/>
        <v>Sales</v>
      </c>
      <c r="C11" s="1" t="str">
        <f t="shared" ca="1" si="2"/>
        <v>Software</v>
      </c>
      <c r="D11" s="1" t="str">
        <f t="shared" ca="1" si="3"/>
        <v>Alpha Logistics</v>
      </c>
      <c r="E11" s="1">
        <f t="shared" ca="1" si="4"/>
        <v>13986</v>
      </c>
      <c r="F11" s="1">
        <f t="shared" ca="1" si="5"/>
        <v>12</v>
      </c>
      <c r="G11" s="1">
        <f t="shared" ca="1" si="6"/>
        <v>1678.32</v>
      </c>
      <c r="H11" s="1">
        <f t="shared" ca="1" si="7"/>
        <v>15664.32</v>
      </c>
      <c r="I11" s="1" t="str">
        <f t="shared" ca="1" si="8"/>
        <v>CC106</v>
      </c>
    </row>
    <row r="12" spans="1:9" hidden="1" x14ac:dyDescent="0.3">
      <c r="A12" s="2">
        <f t="shared" ca="1" si="0"/>
        <v>45610</v>
      </c>
      <c r="B12" s="1" t="str">
        <f t="shared" ca="1" si="1"/>
        <v>Operations</v>
      </c>
      <c r="C12" s="1" t="str">
        <f t="shared" ca="1" si="2"/>
        <v>Utilities</v>
      </c>
      <c r="D12" s="1" t="str">
        <f t="shared" ca="1" si="3"/>
        <v>Global Traders</v>
      </c>
      <c r="E12" s="1">
        <f t="shared" ca="1" si="4"/>
        <v>15365</v>
      </c>
      <c r="F12" s="1">
        <f t="shared" ca="1" si="5"/>
        <v>12</v>
      </c>
      <c r="G12" s="1">
        <f t="shared" ca="1" si="6"/>
        <v>1843.8</v>
      </c>
      <c r="H12" s="1">
        <f t="shared" ca="1" si="7"/>
        <v>17208.8</v>
      </c>
      <c r="I12" s="1" t="str">
        <f t="shared" ca="1" si="8"/>
        <v>CC101</v>
      </c>
    </row>
    <row r="13" spans="1:9" x14ac:dyDescent="0.3">
      <c r="A13" s="2">
        <f t="shared" ca="1" si="0"/>
        <v>45145</v>
      </c>
      <c r="B13" s="1" t="str">
        <f t="shared" ca="1" si="1"/>
        <v>Finance</v>
      </c>
      <c r="C13" s="1" t="str">
        <f t="shared" ca="1" si="2"/>
        <v>Travel</v>
      </c>
      <c r="D13" s="1" t="str">
        <f t="shared" ca="1" si="3"/>
        <v>Infoserve Pvt Ltd</v>
      </c>
      <c r="E13" s="1">
        <f t="shared" ca="1" si="4"/>
        <v>30778</v>
      </c>
      <c r="F13" s="1">
        <f t="shared" ca="1" si="5"/>
        <v>12</v>
      </c>
      <c r="G13" s="1">
        <f t="shared" ca="1" si="6"/>
        <v>3693.36</v>
      </c>
      <c r="H13" s="1">
        <f t="shared" ca="1" si="7"/>
        <v>34471.360000000001</v>
      </c>
      <c r="I13" s="1" t="str">
        <f t="shared" ca="1" si="8"/>
        <v>CC104</v>
      </c>
    </row>
    <row r="14" spans="1:9" x14ac:dyDescent="0.3">
      <c r="A14" s="2">
        <f t="shared" ca="1" si="0"/>
        <v>45173</v>
      </c>
      <c r="B14" s="1" t="str">
        <f t="shared" ca="1" si="1"/>
        <v>Operations</v>
      </c>
      <c r="C14" s="1" t="str">
        <f t="shared" ca="1" si="2"/>
        <v>Utilities</v>
      </c>
      <c r="D14" s="1" t="str">
        <f t="shared" ca="1" si="3"/>
        <v>Infoserve Pvt Ltd</v>
      </c>
      <c r="E14" s="1">
        <f t="shared" ca="1" si="4"/>
        <v>49950</v>
      </c>
      <c r="F14" s="1">
        <f t="shared" ca="1" si="5"/>
        <v>18</v>
      </c>
      <c r="G14" s="1">
        <f t="shared" ca="1" si="6"/>
        <v>8991</v>
      </c>
      <c r="H14" s="1">
        <f t="shared" ca="1" si="7"/>
        <v>58941</v>
      </c>
      <c r="I14" s="1" t="str">
        <f t="shared" ca="1" si="8"/>
        <v>CC106</v>
      </c>
    </row>
    <row r="15" spans="1:9" hidden="1" x14ac:dyDescent="0.3">
      <c r="A15" s="2">
        <f t="shared" ca="1" si="0"/>
        <v>45107</v>
      </c>
      <c r="B15" s="1" t="str">
        <f t="shared" ca="1" si="1"/>
        <v>Operations</v>
      </c>
      <c r="C15" s="1" t="str">
        <f t="shared" ca="1" si="2"/>
        <v>Travel</v>
      </c>
      <c r="D15" s="1" t="str">
        <f t="shared" ca="1" si="3"/>
        <v>Skyline Marketing</v>
      </c>
      <c r="E15" s="1">
        <f t="shared" ca="1" si="4"/>
        <v>41548</v>
      </c>
      <c r="F15" s="1">
        <f t="shared" ca="1" si="5"/>
        <v>5</v>
      </c>
      <c r="G15" s="1">
        <f t="shared" ca="1" si="6"/>
        <v>2077.4</v>
      </c>
      <c r="H15" s="1">
        <f t="shared" ca="1" si="7"/>
        <v>43625.4</v>
      </c>
      <c r="I15" s="1" t="str">
        <f t="shared" ca="1" si="8"/>
        <v>CC104</v>
      </c>
    </row>
    <row r="16" spans="1:9" x14ac:dyDescent="0.3">
      <c r="A16" s="2">
        <f t="shared" ca="1" si="0"/>
        <v>45011</v>
      </c>
      <c r="B16" s="1" t="str">
        <f t="shared" ca="1" si="1"/>
        <v>Finance</v>
      </c>
      <c r="C16" s="1" t="str">
        <f t="shared" ca="1" si="2"/>
        <v>Travel</v>
      </c>
      <c r="D16" s="1" t="str">
        <f t="shared" ca="1" si="3"/>
        <v>Skyline Marketing</v>
      </c>
      <c r="E16" s="1">
        <f t="shared" ca="1" si="4"/>
        <v>49158</v>
      </c>
      <c r="F16" s="1">
        <f t="shared" ca="1" si="5"/>
        <v>5</v>
      </c>
      <c r="G16" s="1">
        <f t="shared" ca="1" si="6"/>
        <v>2457.9</v>
      </c>
      <c r="H16" s="1">
        <f t="shared" ca="1" si="7"/>
        <v>51615.9</v>
      </c>
      <c r="I16" s="1" t="str">
        <f t="shared" ca="1" si="8"/>
        <v>CC103</v>
      </c>
    </row>
    <row r="17" spans="1:9" hidden="1" x14ac:dyDescent="0.3">
      <c r="A17" s="2">
        <f t="shared" ca="1" si="0"/>
        <v>45537</v>
      </c>
      <c r="B17" s="1" t="str">
        <f t="shared" ca="1" si="1"/>
        <v>Procurement</v>
      </c>
      <c r="C17" s="1" t="str">
        <f t="shared" ca="1" si="2"/>
        <v>Utilities</v>
      </c>
      <c r="D17" s="1" t="str">
        <f t="shared" ca="1" si="3"/>
        <v>Alpha Logistics</v>
      </c>
      <c r="E17" s="1">
        <f t="shared" ca="1" si="4"/>
        <v>32261</v>
      </c>
      <c r="F17" s="1">
        <f t="shared" ca="1" si="5"/>
        <v>12</v>
      </c>
      <c r="G17" s="1">
        <f t="shared" ca="1" si="6"/>
        <v>3871.32</v>
      </c>
      <c r="H17" s="1">
        <f t="shared" ca="1" si="7"/>
        <v>36132.32</v>
      </c>
      <c r="I17" s="1" t="str">
        <f t="shared" ca="1" si="8"/>
        <v>CC105</v>
      </c>
    </row>
    <row r="18" spans="1:9" hidden="1" x14ac:dyDescent="0.3">
      <c r="A18" s="2">
        <f t="shared" ca="1" si="0"/>
        <v>45464</v>
      </c>
      <c r="B18" s="1" t="str">
        <f t="shared" ca="1" si="1"/>
        <v>Procurement</v>
      </c>
      <c r="C18" s="1" t="str">
        <f t="shared" ca="1" si="2"/>
        <v>Utilities</v>
      </c>
      <c r="D18" s="1" t="str">
        <f t="shared" ca="1" si="3"/>
        <v>QuickFix Services</v>
      </c>
      <c r="E18" s="1">
        <f t="shared" ca="1" si="4"/>
        <v>38520</v>
      </c>
      <c r="F18" s="1">
        <f t="shared" ca="1" si="5"/>
        <v>18</v>
      </c>
      <c r="G18" s="1">
        <f t="shared" ca="1" si="6"/>
        <v>6933.6</v>
      </c>
      <c r="H18" s="1">
        <f t="shared" ca="1" si="7"/>
        <v>45453.599999999999</v>
      </c>
      <c r="I18" s="1" t="str">
        <f t="shared" ca="1" si="8"/>
        <v>CC103</v>
      </c>
    </row>
    <row r="19" spans="1:9" hidden="1" x14ac:dyDescent="0.3">
      <c r="A19" s="2">
        <f t="shared" ca="1" si="0"/>
        <v>45487</v>
      </c>
      <c r="B19" s="1" t="str">
        <f t="shared" ca="1" si="1"/>
        <v>IT</v>
      </c>
      <c r="C19" s="1" t="str">
        <f t="shared" ca="1" si="2"/>
        <v>Software</v>
      </c>
      <c r="D19" s="1" t="str">
        <f t="shared" ca="1" si="3"/>
        <v>Star Technologies</v>
      </c>
      <c r="E19" s="1">
        <f t="shared" ca="1" si="4"/>
        <v>20305</v>
      </c>
      <c r="F19" s="1">
        <f t="shared" ca="1" si="5"/>
        <v>5</v>
      </c>
      <c r="G19" s="1">
        <f t="shared" ca="1" si="6"/>
        <v>1015.25</v>
      </c>
      <c r="H19" s="1">
        <f t="shared" ca="1" si="7"/>
        <v>21320.25</v>
      </c>
      <c r="I19" s="1" t="str">
        <f t="shared" ca="1" si="8"/>
        <v>CC104</v>
      </c>
    </row>
    <row r="20" spans="1:9" x14ac:dyDescent="0.3">
      <c r="A20" s="2">
        <f t="shared" ca="1" si="0"/>
        <v>45329</v>
      </c>
      <c r="B20" s="1" t="str">
        <f t="shared" ca="1" si="1"/>
        <v>Marketing</v>
      </c>
      <c r="C20" s="1" t="str">
        <f t="shared" ca="1" si="2"/>
        <v>Training</v>
      </c>
      <c r="D20" s="1" t="str">
        <f t="shared" ca="1" si="3"/>
        <v>Urban Office Mart</v>
      </c>
      <c r="E20" s="1">
        <f t="shared" ca="1" si="4"/>
        <v>1302</v>
      </c>
      <c r="F20" s="1">
        <f t="shared" ca="1" si="5"/>
        <v>5</v>
      </c>
      <c r="G20" s="1">
        <f t="shared" ca="1" si="6"/>
        <v>65.099999999999994</v>
      </c>
      <c r="H20" s="1">
        <f t="shared" ca="1" si="7"/>
        <v>1367.1</v>
      </c>
      <c r="I20" s="1" t="str">
        <f t="shared" ca="1" si="8"/>
        <v>CC105</v>
      </c>
    </row>
    <row r="21" spans="1:9" hidden="1" x14ac:dyDescent="0.3">
      <c r="A21" s="2">
        <f t="shared" ca="1" si="0"/>
        <v>45372</v>
      </c>
      <c r="B21" s="1" t="str">
        <f t="shared" ca="1" si="1"/>
        <v>Sales</v>
      </c>
      <c r="C21" s="1" t="str">
        <f t="shared" ca="1" si="2"/>
        <v>Marketing Spend</v>
      </c>
      <c r="D21" s="1" t="str">
        <f t="shared" ca="1" si="3"/>
        <v>Global Traders</v>
      </c>
      <c r="E21" s="1">
        <f t="shared" ca="1" si="4"/>
        <v>40205</v>
      </c>
      <c r="F21" s="1">
        <f t="shared" ca="1" si="5"/>
        <v>18</v>
      </c>
      <c r="G21" s="1">
        <f t="shared" ca="1" si="6"/>
        <v>7236.9</v>
      </c>
      <c r="H21" s="1">
        <f t="shared" ca="1" si="7"/>
        <v>47441.9</v>
      </c>
      <c r="I21" s="1" t="str">
        <f t="shared" ca="1" si="8"/>
        <v>CC106</v>
      </c>
    </row>
    <row r="22" spans="1:9" hidden="1" x14ac:dyDescent="0.3">
      <c r="A22" s="2">
        <f t="shared" ca="1" si="0"/>
        <v>45040</v>
      </c>
      <c r="B22" s="1" t="str">
        <f t="shared" ca="1" si="1"/>
        <v>Procurement</v>
      </c>
      <c r="C22" s="1" t="str">
        <f t="shared" ca="1" si="2"/>
        <v>Office Supplies</v>
      </c>
      <c r="D22" s="1" t="str">
        <f t="shared" ca="1" si="3"/>
        <v>Universal Systems</v>
      </c>
      <c r="E22" s="1">
        <f t="shared" ca="1" si="4"/>
        <v>44576</v>
      </c>
      <c r="F22" s="1">
        <f t="shared" ca="1" si="5"/>
        <v>5</v>
      </c>
      <c r="G22" s="1">
        <f t="shared" ca="1" si="6"/>
        <v>2228.8000000000002</v>
      </c>
      <c r="H22" s="1">
        <f t="shared" ca="1" si="7"/>
        <v>46804.800000000003</v>
      </c>
      <c r="I22" s="1" t="str">
        <f t="shared" ca="1" si="8"/>
        <v>CC106</v>
      </c>
    </row>
    <row r="23" spans="1:9" x14ac:dyDescent="0.3">
      <c r="A23" s="2">
        <f t="shared" ca="1" si="0"/>
        <v>45048</v>
      </c>
      <c r="B23" s="1" t="str">
        <f t="shared" ca="1" si="1"/>
        <v>Sales</v>
      </c>
      <c r="C23" s="1" t="str">
        <f t="shared" ca="1" si="2"/>
        <v>Miscellaneous</v>
      </c>
      <c r="D23" s="1" t="str">
        <f t="shared" ca="1" si="3"/>
        <v>Skyline Marketing</v>
      </c>
      <c r="E23" s="1">
        <f t="shared" ca="1" si="4"/>
        <v>26089</v>
      </c>
      <c r="F23" s="1">
        <f t="shared" ca="1" si="5"/>
        <v>18</v>
      </c>
      <c r="G23" s="1">
        <f t="shared" ca="1" si="6"/>
        <v>4696.0200000000004</v>
      </c>
      <c r="H23" s="1">
        <f t="shared" ca="1" si="7"/>
        <v>30785.02</v>
      </c>
      <c r="I23" s="1" t="str">
        <f t="shared" ca="1" si="8"/>
        <v>CC101</v>
      </c>
    </row>
    <row r="24" spans="1:9" x14ac:dyDescent="0.3">
      <c r="A24" s="2">
        <f t="shared" ca="1" si="0"/>
        <v>45133</v>
      </c>
      <c r="B24" s="1" t="str">
        <f t="shared" ca="1" si="1"/>
        <v>Admin</v>
      </c>
      <c r="C24" s="1" t="str">
        <f t="shared" ca="1" si="2"/>
        <v>Utilities</v>
      </c>
      <c r="D24" s="1" t="str">
        <f t="shared" ca="1" si="3"/>
        <v>Skyline Marketing</v>
      </c>
      <c r="E24" s="1">
        <f t="shared" ca="1" si="4"/>
        <v>8730</v>
      </c>
      <c r="F24" s="1">
        <f t="shared" ca="1" si="5"/>
        <v>18</v>
      </c>
      <c r="G24" s="1">
        <f t="shared" ca="1" si="6"/>
        <v>1571.4</v>
      </c>
      <c r="H24" s="1">
        <f t="shared" ca="1" si="7"/>
        <v>10301.4</v>
      </c>
      <c r="I24" s="1" t="str">
        <f t="shared" ca="1" si="8"/>
        <v>CC102</v>
      </c>
    </row>
    <row r="25" spans="1:9" x14ac:dyDescent="0.3">
      <c r="A25" s="2">
        <f t="shared" ca="1" si="0"/>
        <v>45362</v>
      </c>
      <c r="B25" s="1" t="str">
        <f t="shared" ca="1" si="1"/>
        <v>Procurement</v>
      </c>
      <c r="C25" s="1" t="str">
        <f t="shared" ca="1" si="2"/>
        <v>Maintenance</v>
      </c>
      <c r="D25" s="1" t="str">
        <f t="shared" ca="1" si="3"/>
        <v>Bright Solutions</v>
      </c>
      <c r="E25" s="1">
        <f t="shared" ca="1" si="4"/>
        <v>42924</v>
      </c>
      <c r="F25" s="1">
        <f t="shared" ca="1" si="5"/>
        <v>12</v>
      </c>
      <c r="G25" s="1">
        <f t="shared" ca="1" si="6"/>
        <v>5150.88</v>
      </c>
      <c r="H25" s="1">
        <f t="shared" ca="1" si="7"/>
        <v>48074.879999999997</v>
      </c>
      <c r="I25" s="1" t="str">
        <f t="shared" ca="1" si="8"/>
        <v>CC103</v>
      </c>
    </row>
    <row r="26" spans="1:9" hidden="1" x14ac:dyDescent="0.3">
      <c r="A26" s="2">
        <f t="shared" ca="1" si="0"/>
        <v>45237</v>
      </c>
      <c r="B26" s="1" t="str">
        <f t="shared" ca="1" si="1"/>
        <v>IT</v>
      </c>
      <c r="C26" s="1" t="str">
        <f t="shared" ca="1" si="2"/>
        <v>Software</v>
      </c>
      <c r="D26" s="1" t="str">
        <f t="shared" ca="1" si="3"/>
        <v>Alpha Logistics</v>
      </c>
      <c r="E26" s="1">
        <f t="shared" ca="1" si="4"/>
        <v>6629</v>
      </c>
      <c r="F26" s="1">
        <f t="shared" ca="1" si="5"/>
        <v>12</v>
      </c>
      <c r="G26" s="1">
        <f t="shared" ca="1" si="6"/>
        <v>795.48</v>
      </c>
      <c r="H26" s="1">
        <f t="shared" ca="1" si="7"/>
        <v>7424.48</v>
      </c>
      <c r="I26" s="1" t="str">
        <f t="shared" ca="1" si="8"/>
        <v>CC101</v>
      </c>
    </row>
    <row r="27" spans="1:9" hidden="1" x14ac:dyDescent="0.3">
      <c r="A27" s="2">
        <f t="shared" ca="1" si="0"/>
        <v>45078</v>
      </c>
      <c r="B27" s="1" t="str">
        <f t="shared" ca="1" si="1"/>
        <v>HR</v>
      </c>
      <c r="C27" s="1" t="str">
        <f t="shared" ca="1" si="2"/>
        <v>Office Supplies</v>
      </c>
      <c r="D27" s="1" t="str">
        <f t="shared" ca="1" si="3"/>
        <v>Universal Systems</v>
      </c>
      <c r="E27" s="1">
        <f t="shared" ca="1" si="4"/>
        <v>29242</v>
      </c>
      <c r="F27" s="1">
        <f t="shared" ca="1" si="5"/>
        <v>12</v>
      </c>
      <c r="G27" s="1">
        <f t="shared" ca="1" si="6"/>
        <v>3509.04</v>
      </c>
      <c r="H27" s="1">
        <f t="shared" ca="1" si="7"/>
        <v>32751.040000000001</v>
      </c>
      <c r="I27" s="1" t="str">
        <f t="shared" ca="1" si="8"/>
        <v>CC105</v>
      </c>
    </row>
    <row r="28" spans="1:9" hidden="1" x14ac:dyDescent="0.3">
      <c r="A28" s="2">
        <f t="shared" ca="1" si="0"/>
        <v>45003</v>
      </c>
      <c r="B28" s="1" t="str">
        <f t="shared" ca="1" si="1"/>
        <v>Operations</v>
      </c>
      <c r="C28" s="1" t="str">
        <f t="shared" ca="1" si="2"/>
        <v>Transportation</v>
      </c>
      <c r="D28" s="1" t="str">
        <f t="shared" ca="1" si="3"/>
        <v>QuickFix Services</v>
      </c>
      <c r="E28" s="1">
        <f t="shared" ca="1" si="4"/>
        <v>31204</v>
      </c>
      <c r="F28" s="1">
        <f t="shared" ca="1" si="5"/>
        <v>12</v>
      </c>
      <c r="G28" s="1">
        <f t="shared" ca="1" si="6"/>
        <v>3744.48</v>
      </c>
      <c r="H28" s="1">
        <f t="shared" ca="1" si="7"/>
        <v>34948.480000000003</v>
      </c>
      <c r="I28" s="1" t="str">
        <f t="shared" ca="1" si="8"/>
        <v>CC102</v>
      </c>
    </row>
    <row r="29" spans="1:9" hidden="1" x14ac:dyDescent="0.3">
      <c r="A29" s="2">
        <f t="shared" ca="1" si="0"/>
        <v>45234</v>
      </c>
      <c r="B29" s="1" t="str">
        <f t="shared" ca="1" si="1"/>
        <v>Admin</v>
      </c>
      <c r="C29" s="1" t="str">
        <f t="shared" ca="1" si="2"/>
        <v>Maintenance</v>
      </c>
      <c r="D29" s="1" t="str">
        <f t="shared" ca="1" si="3"/>
        <v>Infoserve Pvt Ltd</v>
      </c>
      <c r="E29" s="1">
        <f t="shared" ca="1" si="4"/>
        <v>6767</v>
      </c>
      <c r="F29" s="1">
        <f t="shared" ca="1" si="5"/>
        <v>12</v>
      </c>
      <c r="G29" s="1">
        <f t="shared" ca="1" si="6"/>
        <v>812.04</v>
      </c>
      <c r="H29" s="1">
        <f t="shared" ca="1" si="7"/>
        <v>7579.04</v>
      </c>
      <c r="I29" s="1" t="str">
        <f t="shared" ca="1" si="8"/>
        <v>CC106</v>
      </c>
    </row>
    <row r="30" spans="1:9" hidden="1" x14ac:dyDescent="0.3">
      <c r="A30" s="2">
        <f t="shared" ca="1" si="0"/>
        <v>45220</v>
      </c>
      <c r="B30" s="1" t="str">
        <f t="shared" ca="1" si="1"/>
        <v>Operations</v>
      </c>
      <c r="C30" s="1" t="str">
        <f t="shared" ca="1" si="2"/>
        <v>Transportation</v>
      </c>
      <c r="D30" s="1" t="str">
        <f t="shared" ca="1" si="3"/>
        <v>Star Technologies</v>
      </c>
      <c r="E30" s="1">
        <f t="shared" ca="1" si="4"/>
        <v>15157</v>
      </c>
      <c r="F30" s="1">
        <f t="shared" ca="1" si="5"/>
        <v>18</v>
      </c>
      <c r="G30" s="1">
        <f t="shared" ca="1" si="6"/>
        <v>2728.26</v>
      </c>
      <c r="H30" s="1">
        <f t="shared" ca="1" si="7"/>
        <v>17885.260000000002</v>
      </c>
      <c r="I30" s="1" t="str">
        <f t="shared" ca="1" si="8"/>
        <v>CC101</v>
      </c>
    </row>
    <row r="31" spans="1:9" hidden="1" x14ac:dyDescent="0.3">
      <c r="A31" s="2">
        <f t="shared" ca="1" si="0"/>
        <v>45551</v>
      </c>
      <c r="B31" s="1" t="str">
        <f t="shared" ca="1" si="1"/>
        <v>Operations</v>
      </c>
      <c r="C31" s="1" t="str">
        <f t="shared" ca="1" si="2"/>
        <v>Marketing Spend</v>
      </c>
      <c r="D31" s="1" t="str">
        <f t="shared" ca="1" si="3"/>
        <v>Urban Office Mart</v>
      </c>
      <c r="E31" s="1">
        <f t="shared" ca="1" si="4"/>
        <v>17902</v>
      </c>
      <c r="F31" s="1">
        <f t="shared" ca="1" si="5"/>
        <v>5</v>
      </c>
      <c r="G31" s="1">
        <f t="shared" ca="1" si="6"/>
        <v>895.1</v>
      </c>
      <c r="H31" s="1">
        <f t="shared" ca="1" si="7"/>
        <v>18797.099999999999</v>
      </c>
      <c r="I31" s="1" t="str">
        <f t="shared" ca="1" si="8"/>
        <v>CC103</v>
      </c>
    </row>
    <row r="32" spans="1:9" hidden="1" x14ac:dyDescent="0.3">
      <c r="A32" s="2">
        <f t="shared" ca="1" si="0"/>
        <v>45386</v>
      </c>
      <c r="B32" s="1" t="str">
        <f t="shared" ca="1" si="1"/>
        <v>Operations</v>
      </c>
      <c r="C32" s="1" t="str">
        <f t="shared" ca="1" si="2"/>
        <v>Utilities</v>
      </c>
      <c r="D32" s="1" t="str">
        <f t="shared" ca="1" si="3"/>
        <v>Skyline Marketing</v>
      </c>
      <c r="E32" s="1">
        <f t="shared" ca="1" si="4"/>
        <v>27016</v>
      </c>
      <c r="F32" s="1">
        <f t="shared" ca="1" si="5"/>
        <v>12</v>
      </c>
      <c r="G32" s="1">
        <f t="shared" ca="1" si="6"/>
        <v>3241.92</v>
      </c>
      <c r="H32" s="1">
        <f t="shared" ca="1" si="7"/>
        <v>30257.919999999998</v>
      </c>
      <c r="I32" s="1" t="str">
        <f t="shared" ca="1" si="8"/>
        <v>CC101</v>
      </c>
    </row>
    <row r="33" spans="1:9" hidden="1" x14ac:dyDescent="0.3">
      <c r="A33" s="2">
        <f t="shared" ca="1" si="0"/>
        <v>45340</v>
      </c>
      <c r="B33" s="1" t="str">
        <f t="shared" ca="1" si="1"/>
        <v>Operations</v>
      </c>
      <c r="C33" s="1" t="str">
        <f t="shared" ca="1" si="2"/>
        <v>Utilities</v>
      </c>
      <c r="D33" s="1" t="str">
        <f t="shared" ca="1" si="3"/>
        <v>Urban Office Mart</v>
      </c>
      <c r="E33" s="1">
        <f t="shared" ca="1" si="4"/>
        <v>6180</v>
      </c>
      <c r="F33" s="1">
        <f t="shared" ca="1" si="5"/>
        <v>5</v>
      </c>
      <c r="G33" s="1">
        <f t="shared" ca="1" si="6"/>
        <v>309</v>
      </c>
      <c r="H33" s="1">
        <f t="shared" ca="1" si="7"/>
        <v>6489</v>
      </c>
      <c r="I33" s="1" t="str">
        <f t="shared" ca="1" si="8"/>
        <v>CC104</v>
      </c>
    </row>
    <row r="34" spans="1:9" x14ac:dyDescent="0.3">
      <c r="A34" s="2">
        <f t="shared" ca="1" si="0"/>
        <v>45147</v>
      </c>
      <c r="B34" s="1" t="str">
        <f t="shared" ca="1" si="1"/>
        <v>Marketing</v>
      </c>
      <c r="C34" s="1" t="str">
        <f t="shared" ca="1" si="2"/>
        <v>Software</v>
      </c>
      <c r="D34" s="1" t="str">
        <f t="shared" ca="1" si="3"/>
        <v>Bright Solutions</v>
      </c>
      <c r="E34" s="1">
        <f t="shared" ca="1" si="4"/>
        <v>37984</v>
      </c>
      <c r="F34" s="1">
        <f t="shared" ca="1" si="5"/>
        <v>5</v>
      </c>
      <c r="G34" s="1">
        <f t="shared" ca="1" si="6"/>
        <v>1899.2</v>
      </c>
      <c r="H34" s="1">
        <f t="shared" ca="1" si="7"/>
        <v>39883.199999999997</v>
      </c>
      <c r="I34" s="1" t="str">
        <f t="shared" ca="1" si="8"/>
        <v>CC103</v>
      </c>
    </row>
    <row r="35" spans="1:9" hidden="1" x14ac:dyDescent="0.3">
      <c r="A35" s="2">
        <f t="shared" ca="1" si="0"/>
        <v>45180</v>
      </c>
      <c r="B35" s="1" t="str">
        <f t="shared" ca="1" si="1"/>
        <v>Procurement</v>
      </c>
      <c r="C35" s="1" t="str">
        <f t="shared" ca="1" si="2"/>
        <v>Salaries</v>
      </c>
      <c r="D35" s="1" t="str">
        <f t="shared" ca="1" si="3"/>
        <v>Infoserve Pvt Ltd</v>
      </c>
      <c r="E35" s="1">
        <f t="shared" ca="1" si="4"/>
        <v>14500</v>
      </c>
      <c r="F35" s="1">
        <f t="shared" ca="1" si="5"/>
        <v>12</v>
      </c>
      <c r="G35" s="1">
        <f t="shared" ca="1" si="6"/>
        <v>1740</v>
      </c>
      <c r="H35" s="1">
        <f t="shared" ca="1" si="7"/>
        <v>16240</v>
      </c>
      <c r="I35" s="1" t="str">
        <f t="shared" ca="1" si="8"/>
        <v>CC105</v>
      </c>
    </row>
    <row r="36" spans="1:9" x14ac:dyDescent="0.3">
      <c r="A36" s="2">
        <f t="shared" ca="1" si="0"/>
        <v>45641</v>
      </c>
      <c r="B36" s="1" t="str">
        <f t="shared" ca="1" si="1"/>
        <v>Marketing</v>
      </c>
      <c r="C36" s="1" t="str">
        <f t="shared" ca="1" si="2"/>
        <v>Marketing Spend</v>
      </c>
      <c r="D36" s="1" t="str">
        <f t="shared" ca="1" si="3"/>
        <v>Universal Systems</v>
      </c>
      <c r="E36" s="1">
        <f t="shared" ca="1" si="4"/>
        <v>43494</v>
      </c>
      <c r="F36" s="1">
        <f t="shared" ca="1" si="5"/>
        <v>12</v>
      </c>
      <c r="G36" s="1">
        <f t="shared" ca="1" si="6"/>
        <v>5219.28</v>
      </c>
      <c r="H36" s="1">
        <f t="shared" ca="1" si="7"/>
        <v>48713.279999999999</v>
      </c>
      <c r="I36" s="1" t="str">
        <f t="shared" ca="1" si="8"/>
        <v>CC105</v>
      </c>
    </row>
    <row r="37" spans="1:9" x14ac:dyDescent="0.3">
      <c r="A37" s="2">
        <f t="shared" ca="1" si="0"/>
        <v>45539</v>
      </c>
      <c r="B37" s="1" t="str">
        <f t="shared" ca="1" si="1"/>
        <v>Operations</v>
      </c>
      <c r="C37" s="1" t="str">
        <f t="shared" ca="1" si="2"/>
        <v>Miscellaneous</v>
      </c>
      <c r="D37" s="1" t="str">
        <f t="shared" ca="1" si="3"/>
        <v>Bright Solutions</v>
      </c>
      <c r="E37" s="1">
        <f t="shared" ca="1" si="4"/>
        <v>33087</v>
      </c>
      <c r="F37" s="1">
        <f t="shared" ca="1" si="5"/>
        <v>5</v>
      </c>
      <c r="G37" s="1">
        <f t="shared" ca="1" si="6"/>
        <v>1654.35</v>
      </c>
      <c r="H37" s="1">
        <f t="shared" ca="1" si="7"/>
        <v>34741.35</v>
      </c>
      <c r="I37" s="1" t="str">
        <f t="shared" ca="1" si="8"/>
        <v>CC105</v>
      </c>
    </row>
    <row r="38" spans="1:9" hidden="1" x14ac:dyDescent="0.3">
      <c r="A38" s="2">
        <f t="shared" ca="1" si="0"/>
        <v>44970</v>
      </c>
      <c r="B38" s="1" t="str">
        <f t="shared" ca="1" si="1"/>
        <v>Marketing</v>
      </c>
      <c r="C38" s="1" t="str">
        <f t="shared" ca="1" si="2"/>
        <v>Maintenance</v>
      </c>
      <c r="D38" s="1" t="str">
        <f t="shared" ca="1" si="3"/>
        <v>Urban Office Mart</v>
      </c>
      <c r="E38" s="1">
        <f t="shared" ca="1" si="4"/>
        <v>10741</v>
      </c>
      <c r="F38" s="1">
        <f t="shared" ca="1" si="5"/>
        <v>5</v>
      </c>
      <c r="G38" s="1">
        <f t="shared" ca="1" si="6"/>
        <v>537.04999999999995</v>
      </c>
      <c r="H38" s="1">
        <f t="shared" ca="1" si="7"/>
        <v>11278.05</v>
      </c>
      <c r="I38" s="1" t="str">
        <f t="shared" ca="1" si="8"/>
        <v>CC104</v>
      </c>
    </row>
    <row r="39" spans="1:9" hidden="1" x14ac:dyDescent="0.3">
      <c r="A39" s="2">
        <f t="shared" ca="1" si="0"/>
        <v>45644</v>
      </c>
      <c r="B39" s="1" t="str">
        <f t="shared" ca="1" si="1"/>
        <v>Finance</v>
      </c>
      <c r="C39" s="1" t="str">
        <f t="shared" ca="1" si="2"/>
        <v>Travel</v>
      </c>
      <c r="D39" s="1" t="str">
        <f t="shared" ca="1" si="3"/>
        <v>Rapid Transport</v>
      </c>
      <c r="E39" s="1">
        <f t="shared" ca="1" si="4"/>
        <v>40602</v>
      </c>
      <c r="F39" s="1">
        <f t="shared" ca="1" si="5"/>
        <v>12</v>
      </c>
      <c r="G39" s="1">
        <f t="shared" ca="1" si="6"/>
        <v>4872.24</v>
      </c>
      <c r="H39" s="1">
        <f t="shared" ca="1" si="7"/>
        <v>45474.239999999998</v>
      </c>
      <c r="I39" s="1" t="str">
        <f t="shared" ca="1" si="8"/>
        <v>CC104</v>
      </c>
    </row>
    <row r="40" spans="1:9" x14ac:dyDescent="0.3">
      <c r="A40" s="2">
        <f t="shared" ca="1" si="0"/>
        <v>45490</v>
      </c>
      <c r="B40" s="1" t="str">
        <f t="shared" ca="1" si="1"/>
        <v>Procurement</v>
      </c>
      <c r="C40" s="1" t="str">
        <f t="shared" ca="1" si="2"/>
        <v>Office Supplies</v>
      </c>
      <c r="D40" s="1" t="str">
        <f t="shared" ca="1" si="3"/>
        <v>Alpha Logistics</v>
      </c>
      <c r="E40" s="1">
        <f t="shared" ca="1" si="4"/>
        <v>9524</v>
      </c>
      <c r="F40" s="1">
        <f t="shared" ca="1" si="5"/>
        <v>12</v>
      </c>
      <c r="G40" s="1">
        <f t="shared" ca="1" si="6"/>
        <v>1142.8800000000001</v>
      </c>
      <c r="H40" s="1">
        <f t="shared" ca="1" si="7"/>
        <v>10666.880000000001</v>
      </c>
      <c r="I40" s="1" t="str">
        <f t="shared" ca="1" si="8"/>
        <v>CC105</v>
      </c>
    </row>
    <row r="41" spans="1:9" x14ac:dyDescent="0.3">
      <c r="A41" s="2">
        <f t="shared" ca="1" si="0"/>
        <v>45036</v>
      </c>
      <c r="B41" s="1" t="str">
        <f t="shared" ca="1" si="1"/>
        <v>IT</v>
      </c>
      <c r="C41" s="1" t="str">
        <f t="shared" ca="1" si="2"/>
        <v>Transportation</v>
      </c>
      <c r="D41" s="1" t="str">
        <f t="shared" ca="1" si="3"/>
        <v>Star Technologies</v>
      </c>
      <c r="E41" s="1">
        <f t="shared" ca="1" si="4"/>
        <v>42586</v>
      </c>
      <c r="F41" s="1">
        <f t="shared" ca="1" si="5"/>
        <v>12</v>
      </c>
      <c r="G41" s="1">
        <f t="shared" ca="1" si="6"/>
        <v>5110.32</v>
      </c>
      <c r="H41" s="1">
        <f t="shared" ca="1" si="7"/>
        <v>47696.32</v>
      </c>
      <c r="I41" s="1" t="str">
        <f t="shared" ca="1" si="8"/>
        <v>CC101</v>
      </c>
    </row>
    <row r="42" spans="1:9" x14ac:dyDescent="0.3">
      <c r="A42" s="2">
        <f t="shared" ca="1" si="0"/>
        <v>45511</v>
      </c>
      <c r="B42" s="1" t="str">
        <f t="shared" ca="1" si="1"/>
        <v>Operations</v>
      </c>
      <c r="C42" s="1" t="str">
        <f t="shared" ca="1" si="2"/>
        <v>Salaries</v>
      </c>
      <c r="D42" s="1" t="str">
        <f t="shared" ca="1" si="3"/>
        <v>Infoserve Pvt Ltd</v>
      </c>
      <c r="E42" s="1">
        <f t="shared" ca="1" si="4"/>
        <v>33055</v>
      </c>
      <c r="F42" s="1">
        <f t="shared" ca="1" si="5"/>
        <v>12</v>
      </c>
      <c r="G42" s="1">
        <f t="shared" ca="1" si="6"/>
        <v>3966.6</v>
      </c>
      <c r="H42" s="1">
        <f t="shared" ca="1" si="7"/>
        <v>37021.599999999999</v>
      </c>
      <c r="I42" s="1" t="str">
        <f t="shared" ca="1" si="8"/>
        <v>CC102</v>
      </c>
    </row>
    <row r="43" spans="1:9" hidden="1" x14ac:dyDescent="0.3">
      <c r="A43" s="2">
        <f t="shared" ca="1" si="0"/>
        <v>45351</v>
      </c>
      <c r="B43" s="1" t="str">
        <f t="shared" ca="1" si="1"/>
        <v>IT</v>
      </c>
      <c r="C43" s="1" t="str">
        <f t="shared" ca="1" si="2"/>
        <v>Miscellaneous</v>
      </c>
      <c r="D43" s="1" t="str">
        <f t="shared" ca="1" si="3"/>
        <v>Rapid Transport</v>
      </c>
      <c r="E43" s="1">
        <f t="shared" ca="1" si="4"/>
        <v>7815</v>
      </c>
      <c r="F43" s="1">
        <f t="shared" ca="1" si="5"/>
        <v>18</v>
      </c>
      <c r="G43" s="1">
        <f t="shared" ca="1" si="6"/>
        <v>1406.7</v>
      </c>
      <c r="H43" s="1">
        <f t="shared" ca="1" si="7"/>
        <v>9221.7000000000007</v>
      </c>
      <c r="I43" s="1" t="str">
        <f t="shared" ca="1" si="8"/>
        <v>CC103</v>
      </c>
    </row>
    <row r="44" spans="1:9" x14ac:dyDescent="0.3">
      <c r="A44" s="2">
        <f t="shared" ca="1" si="0"/>
        <v>45611</v>
      </c>
      <c r="B44" s="1" t="str">
        <f t="shared" ca="1" si="1"/>
        <v>Procurement</v>
      </c>
      <c r="C44" s="1" t="str">
        <f t="shared" ca="1" si="2"/>
        <v>Training</v>
      </c>
      <c r="D44" s="1" t="str">
        <f t="shared" ca="1" si="3"/>
        <v>Alpha Logistics</v>
      </c>
      <c r="E44" s="1">
        <f t="shared" ca="1" si="4"/>
        <v>2843</v>
      </c>
      <c r="F44" s="1">
        <f t="shared" ca="1" si="5"/>
        <v>12</v>
      </c>
      <c r="G44" s="1">
        <f t="shared" ca="1" si="6"/>
        <v>341.16</v>
      </c>
      <c r="H44" s="1">
        <f t="shared" ca="1" si="7"/>
        <v>3184.16</v>
      </c>
      <c r="I44" s="1" t="str">
        <f t="shared" ca="1" si="8"/>
        <v>CC103</v>
      </c>
    </row>
    <row r="45" spans="1:9" hidden="1" x14ac:dyDescent="0.3">
      <c r="A45" s="2">
        <f t="shared" ca="1" si="0"/>
        <v>45230</v>
      </c>
      <c r="B45" s="1" t="str">
        <f t="shared" ca="1" si="1"/>
        <v>Marketing</v>
      </c>
      <c r="C45" s="1" t="str">
        <f t="shared" ca="1" si="2"/>
        <v>Office Supplies</v>
      </c>
      <c r="D45" s="1" t="str">
        <f t="shared" ca="1" si="3"/>
        <v>Global Traders</v>
      </c>
      <c r="E45" s="1">
        <f t="shared" ca="1" si="4"/>
        <v>26151</v>
      </c>
      <c r="F45" s="1">
        <f t="shared" ca="1" si="5"/>
        <v>12</v>
      </c>
      <c r="G45" s="1">
        <f t="shared" ca="1" si="6"/>
        <v>3138.12</v>
      </c>
      <c r="H45" s="1">
        <f t="shared" ca="1" si="7"/>
        <v>29289.119999999999</v>
      </c>
      <c r="I45" s="1" t="str">
        <f t="shared" ca="1" si="8"/>
        <v>CC101</v>
      </c>
    </row>
    <row r="46" spans="1:9" x14ac:dyDescent="0.3">
      <c r="A46" s="2">
        <f t="shared" ca="1" si="0"/>
        <v>45041</v>
      </c>
      <c r="B46" s="1" t="str">
        <f t="shared" ca="1" si="1"/>
        <v>Marketing</v>
      </c>
      <c r="C46" s="1" t="str">
        <f t="shared" ca="1" si="2"/>
        <v>Training</v>
      </c>
      <c r="D46" s="1" t="str">
        <f t="shared" ca="1" si="3"/>
        <v>Universal Systems</v>
      </c>
      <c r="E46" s="1">
        <f t="shared" ca="1" si="4"/>
        <v>20072</v>
      </c>
      <c r="F46" s="1">
        <f t="shared" ca="1" si="5"/>
        <v>5</v>
      </c>
      <c r="G46" s="1">
        <f t="shared" ca="1" si="6"/>
        <v>1003.6</v>
      </c>
      <c r="H46" s="1">
        <f t="shared" ca="1" si="7"/>
        <v>21075.599999999999</v>
      </c>
      <c r="I46" s="1" t="str">
        <f t="shared" ca="1" si="8"/>
        <v>CC102</v>
      </c>
    </row>
    <row r="47" spans="1:9" x14ac:dyDescent="0.3">
      <c r="A47" s="2">
        <f t="shared" ca="1" si="0"/>
        <v>45595</v>
      </c>
      <c r="B47" s="1" t="str">
        <f t="shared" ca="1" si="1"/>
        <v>HR</v>
      </c>
      <c r="C47" s="1" t="str">
        <f t="shared" ca="1" si="2"/>
        <v>Marketing Spend</v>
      </c>
      <c r="D47" s="1" t="str">
        <f t="shared" ca="1" si="3"/>
        <v>Star Technologies</v>
      </c>
      <c r="E47" s="1">
        <f t="shared" ca="1" si="4"/>
        <v>3500</v>
      </c>
      <c r="F47" s="1">
        <f t="shared" ca="1" si="5"/>
        <v>5</v>
      </c>
      <c r="G47" s="1">
        <f t="shared" ca="1" si="6"/>
        <v>175</v>
      </c>
      <c r="H47" s="1">
        <f t="shared" ca="1" si="7"/>
        <v>3675</v>
      </c>
      <c r="I47" s="1" t="str">
        <f t="shared" ca="1" si="8"/>
        <v>CC106</v>
      </c>
    </row>
    <row r="48" spans="1:9" x14ac:dyDescent="0.3">
      <c r="A48" s="2">
        <f t="shared" ca="1" si="0"/>
        <v>45529</v>
      </c>
      <c r="B48" s="1" t="str">
        <f t="shared" ca="1" si="1"/>
        <v>HR</v>
      </c>
      <c r="C48" s="1" t="str">
        <f t="shared" ca="1" si="2"/>
        <v>Training</v>
      </c>
      <c r="D48" s="1" t="str">
        <f t="shared" ca="1" si="3"/>
        <v>Urban Office Mart</v>
      </c>
      <c r="E48" s="1">
        <f t="shared" ca="1" si="4"/>
        <v>24415</v>
      </c>
      <c r="F48" s="1">
        <f t="shared" ca="1" si="5"/>
        <v>18</v>
      </c>
      <c r="G48" s="1">
        <f t="shared" ca="1" si="6"/>
        <v>4394.7</v>
      </c>
      <c r="H48" s="1">
        <f t="shared" ca="1" si="7"/>
        <v>28809.7</v>
      </c>
      <c r="I48" s="1" t="str">
        <f t="shared" ca="1" si="8"/>
        <v>CC101</v>
      </c>
    </row>
    <row r="49" spans="1:9" x14ac:dyDescent="0.3">
      <c r="A49" s="2">
        <f t="shared" ca="1" si="0"/>
        <v>45451</v>
      </c>
      <c r="B49" s="1" t="str">
        <f t="shared" ca="1" si="1"/>
        <v>Operations</v>
      </c>
      <c r="C49" s="1" t="str">
        <f t="shared" ca="1" si="2"/>
        <v>Office Supplies</v>
      </c>
      <c r="D49" s="1" t="str">
        <f t="shared" ca="1" si="3"/>
        <v>QuickFix Services</v>
      </c>
      <c r="E49" s="1">
        <f t="shared" ca="1" si="4"/>
        <v>21437</v>
      </c>
      <c r="F49" s="1">
        <f t="shared" ca="1" si="5"/>
        <v>5</v>
      </c>
      <c r="G49" s="1">
        <f t="shared" ca="1" si="6"/>
        <v>1071.8499999999999</v>
      </c>
      <c r="H49" s="1">
        <f t="shared" ca="1" si="7"/>
        <v>22508.85</v>
      </c>
      <c r="I49" s="1" t="str">
        <f t="shared" ca="1" si="8"/>
        <v>CC101</v>
      </c>
    </row>
    <row r="50" spans="1:9" x14ac:dyDescent="0.3">
      <c r="A50" s="2">
        <f t="shared" ca="1" si="0"/>
        <v>45501</v>
      </c>
      <c r="B50" s="1" t="str">
        <f t="shared" ca="1" si="1"/>
        <v>IT</v>
      </c>
      <c r="C50" s="1" t="str">
        <f t="shared" ca="1" si="2"/>
        <v>Maintenance</v>
      </c>
      <c r="D50" s="1" t="str">
        <f t="shared" ca="1" si="3"/>
        <v>Rapid Transport</v>
      </c>
      <c r="E50" s="1">
        <f t="shared" ca="1" si="4"/>
        <v>19298</v>
      </c>
      <c r="F50" s="1">
        <f t="shared" ca="1" si="5"/>
        <v>5</v>
      </c>
      <c r="G50" s="1">
        <f t="shared" ca="1" si="6"/>
        <v>964.9</v>
      </c>
      <c r="H50" s="1">
        <f t="shared" ca="1" si="7"/>
        <v>20262.900000000001</v>
      </c>
      <c r="I50" s="1" t="str">
        <f t="shared" ca="1" si="8"/>
        <v>CC103</v>
      </c>
    </row>
    <row r="51" spans="1:9" hidden="1" x14ac:dyDescent="0.3">
      <c r="A51" s="2">
        <f t="shared" ca="1" si="0"/>
        <v>45282</v>
      </c>
      <c r="B51" s="1" t="str">
        <f t="shared" ca="1" si="1"/>
        <v>Procurement</v>
      </c>
      <c r="C51" s="1" t="str">
        <f t="shared" ca="1" si="2"/>
        <v>Transportation</v>
      </c>
      <c r="D51" s="1" t="str">
        <f t="shared" ca="1" si="3"/>
        <v>Skyline Marketing</v>
      </c>
      <c r="E51" s="1">
        <f t="shared" ca="1" si="4"/>
        <v>47762</v>
      </c>
      <c r="F51" s="1">
        <f t="shared" ca="1" si="5"/>
        <v>12</v>
      </c>
      <c r="G51" s="1">
        <f t="shared" ca="1" si="6"/>
        <v>5731.44</v>
      </c>
      <c r="H51" s="1">
        <f t="shared" ca="1" si="7"/>
        <v>53493.440000000002</v>
      </c>
      <c r="I51" s="1" t="str">
        <f t="shared" ca="1" si="8"/>
        <v>CC105</v>
      </c>
    </row>
    <row r="52" spans="1:9" x14ac:dyDescent="0.3">
      <c r="A52" s="2">
        <f t="shared" ca="1" si="0"/>
        <v>45104</v>
      </c>
      <c r="B52" s="1" t="str">
        <f t="shared" ca="1" si="1"/>
        <v>Sales</v>
      </c>
      <c r="C52" s="1" t="str">
        <f t="shared" ca="1" si="2"/>
        <v>Office Supplies</v>
      </c>
      <c r="D52" s="1" t="str">
        <f t="shared" ca="1" si="3"/>
        <v>Skyline Marketing</v>
      </c>
      <c r="E52" s="1">
        <f t="shared" ca="1" si="4"/>
        <v>27394</v>
      </c>
      <c r="F52" s="1">
        <f t="shared" ca="1" si="5"/>
        <v>5</v>
      </c>
      <c r="G52" s="1">
        <f t="shared" ca="1" si="6"/>
        <v>1369.7</v>
      </c>
      <c r="H52" s="1">
        <f t="shared" ca="1" si="7"/>
        <v>28763.7</v>
      </c>
      <c r="I52" s="1" t="str">
        <f t="shared" ca="1" si="8"/>
        <v>CC101</v>
      </c>
    </row>
    <row r="53" spans="1:9" hidden="1" x14ac:dyDescent="0.3">
      <c r="A53" s="2">
        <f t="shared" ca="1" si="0"/>
        <v>45460</v>
      </c>
      <c r="B53" s="1" t="str">
        <f t="shared" ca="1" si="1"/>
        <v>Admin</v>
      </c>
      <c r="C53" s="1" t="str">
        <f t="shared" ca="1" si="2"/>
        <v>Training</v>
      </c>
      <c r="D53" s="1" t="str">
        <f t="shared" ca="1" si="3"/>
        <v>Rapid Transport</v>
      </c>
      <c r="E53" s="1">
        <f t="shared" ca="1" si="4"/>
        <v>47266</v>
      </c>
      <c r="F53" s="1">
        <f t="shared" ca="1" si="5"/>
        <v>12</v>
      </c>
      <c r="G53" s="1">
        <f t="shared" ca="1" si="6"/>
        <v>5671.92</v>
      </c>
      <c r="H53" s="1">
        <f t="shared" ca="1" si="7"/>
        <v>52937.919999999998</v>
      </c>
      <c r="I53" s="1" t="str">
        <f t="shared" ca="1" si="8"/>
        <v>CC104</v>
      </c>
    </row>
    <row r="54" spans="1:9" x14ac:dyDescent="0.3">
      <c r="A54" s="2">
        <f t="shared" ca="1" si="0"/>
        <v>45118</v>
      </c>
      <c r="B54" s="1" t="str">
        <f t="shared" ca="1" si="1"/>
        <v>HR</v>
      </c>
      <c r="C54" s="1" t="str">
        <f t="shared" ca="1" si="2"/>
        <v>Software</v>
      </c>
      <c r="D54" s="1" t="str">
        <f t="shared" ca="1" si="3"/>
        <v>Bright Solutions</v>
      </c>
      <c r="E54" s="1">
        <f t="shared" ca="1" si="4"/>
        <v>28417</v>
      </c>
      <c r="F54" s="1">
        <f t="shared" ca="1" si="5"/>
        <v>5</v>
      </c>
      <c r="G54" s="1">
        <f t="shared" ca="1" si="6"/>
        <v>1420.85</v>
      </c>
      <c r="H54" s="1">
        <f t="shared" ca="1" si="7"/>
        <v>29837.85</v>
      </c>
      <c r="I54" s="1" t="str">
        <f t="shared" ca="1" si="8"/>
        <v>CC102</v>
      </c>
    </row>
    <row r="55" spans="1:9" x14ac:dyDescent="0.3">
      <c r="A55" s="2">
        <f t="shared" ca="1" si="0"/>
        <v>45380</v>
      </c>
      <c r="B55" s="1" t="str">
        <f t="shared" ca="1" si="1"/>
        <v>Admin</v>
      </c>
      <c r="C55" s="1" t="str">
        <f t="shared" ca="1" si="2"/>
        <v>Office Supplies</v>
      </c>
      <c r="D55" s="1" t="str">
        <f t="shared" ca="1" si="3"/>
        <v>Bright Solutions</v>
      </c>
      <c r="E55" s="1">
        <f t="shared" ca="1" si="4"/>
        <v>20017</v>
      </c>
      <c r="F55" s="1">
        <f t="shared" ca="1" si="5"/>
        <v>12</v>
      </c>
      <c r="G55" s="1">
        <f t="shared" ca="1" si="6"/>
        <v>2402.04</v>
      </c>
      <c r="H55" s="1">
        <f t="shared" ca="1" si="7"/>
        <v>22419.040000000001</v>
      </c>
      <c r="I55" s="1" t="str">
        <f t="shared" ca="1" si="8"/>
        <v>CC101</v>
      </c>
    </row>
    <row r="56" spans="1:9" hidden="1" x14ac:dyDescent="0.3">
      <c r="A56" s="2">
        <f t="shared" ca="1" si="0"/>
        <v>45149</v>
      </c>
      <c r="B56" s="1" t="str">
        <f t="shared" ca="1" si="1"/>
        <v>Marketing</v>
      </c>
      <c r="C56" s="1" t="str">
        <f t="shared" ca="1" si="2"/>
        <v>Marketing Spend</v>
      </c>
      <c r="D56" s="1" t="str">
        <f t="shared" ca="1" si="3"/>
        <v>Star Technologies</v>
      </c>
      <c r="E56" s="1">
        <f t="shared" ca="1" si="4"/>
        <v>24709</v>
      </c>
      <c r="F56" s="1">
        <f t="shared" ca="1" si="5"/>
        <v>12</v>
      </c>
      <c r="G56" s="1">
        <f t="shared" ca="1" si="6"/>
        <v>2965.08</v>
      </c>
      <c r="H56" s="1">
        <f t="shared" ca="1" si="7"/>
        <v>27674.080000000002</v>
      </c>
      <c r="I56" s="1" t="str">
        <f t="shared" ca="1" si="8"/>
        <v>CC105</v>
      </c>
    </row>
    <row r="57" spans="1:9" hidden="1" x14ac:dyDescent="0.3">
      <c r="A57" s="2">
        <f t="shared" ca="1" si="0"/>
        <v>45158</v>
      </c>
      <c r="B57" s="1" t="str">
        <f t="shared" ca="1" si="1"/>
        <v>Admin</v>
      </c>
      <c r="C57" s="1" t="str">
        <f t="shared" ca="1" si="2"/>
        <v>Marketing Spend</v>
      </c>
      <c r="D57" s="1" t="str">
        <f t="shared" ca="1" si="3"/>
        <v>Rapid Transport</v>
      </c>
      <c r="E57" s="1">
        <f t="shared" ca="1" si="4"/>
        <v>20279</v>
      </c>
      <c r="F57" s="1">
        <f t="shared" ca="1" si="5"/>
        <v>5</v>
      </c>
      <c r="G57" s="1">
        <f t="shared" ca="1" si="6"/>
        <v>1013.95</v>
      </c>
      <c r="H57" s="1">
        <f t="shared" ca="1" si="7"/>
        <v>21292.95</v>
      </c>
      <c r="I57" s="1" t="str">
        <f t="shared" ca="1" si="8"/>
        <v>CC103</v>
      </c>
    </row>
    <row r="58" spans="1:9" hidden="1" x14ac:dyDescent="0.3">
      <c r="A58" s="2">
        <f t="shared" ca="1" si="0"/>
        <v>45461</v>
      </c>
      <c r="B58" s="1" t="str">
        <f t="shared" ca="1" si="1"/>
        <v>Marketing</v>
      </c>
      <c r="C58" s="1" t="str">
        <f t="shared" ca="1" si="2"/>
        <v>Salaries</v>
      </c>
      <c r="D58" s="1" t="str">
        <f t="shared" ca="1" si="3"/>
        <v>Global Traders</v>
      </c>
      <c r="E58" s="1">
        <f t="shared" ca="1" si="4"/>
        <v>1959</v>
      </c>
      <c r="F58" s="1">
        <f t="shared" ca="1" si="5"/>
        <v>18</v>
      </c>
      <c r="G58" s="1">
        <f t="shared" ca="1" si="6"/>
        <v>352.62</v>
      </c>
      <c r="H58" s="1">
        <f t="shared" ca="1" si="7"/>
        <v>2311.62</v>
      </c>
      <c r="I58" s="1" t="str">
        <f t="shared" ca="1" si="8"/>
        <v>CC102</v>
      </c>
    </row>
    <row r="59" spans="1:9" x14ac:dyDescent="0.3">
      <c r="A59" s="2">
        <f t="shared" ca="1" si="0"/>
        <v>45639</v>
      </c>
      <c r="B59" s="1" t="str">
        <f t="shared" ca="1" si="1"/>
        <v>Sales</v>
      </c>
      <c r="C59" s="1" t="str">
        <f t="shared" ca="1" si="2"/>
        <v>Office Supplies</v>
      </c>
      <c r="D59" s="1" t="str">
        <f t="shared" ca="1" si="3"/>
        <v>Universal Systems</v>
      </c>
      <c r="E59" s="1">
        <f t="shared" ca="1" si="4"/>
        <v>18004</v>
      </c>
      <c r="F59" s="1">
        <f t="shared" ca="1" si="5"/>
        <v>18</v>
      </c>
      <c r="G59" s="1">
        <f t="shared" ca="1" si="6"/>
        <v>3240.72</v>
      </c>
      <c r="H59" s="1">
        <f t="shared" ca="1" si="7"/>
        <v>21244.720000000001</v>
      </c>
      <c r="I59" s="1" t="str">
        <f t="shared" ca="1" si="8"/>
        <v>CC105</v>
      </c>
    </row>
    <row r="60" spans="1:9" x14ac:dyDescent="0.3">
      <c r="A60" s="2">
        <f t="shared" ca="1" si="0"/>
        <v>45330</v>
      </c>
      <c r="B60" s="1" t="str">
        <f t="shared" ca="1" si="1"/>
        <v>Finance</v>
      </c>
      <c r="C60" s="1" t="str">
        <f t="shared" ca="1" si="2"/>
        <v>Marketing Spend</v>
      </c>
      <c r="D60" s="1" t="str">
        <f t="shared" ca="1" si="3"/>
        <v>Global Traders</v>
      </c>
      <c r="E60" s="1">
        <f t="shared" ca="1" si="4"/>
        <v>4923</v>
      </c>
      <c r="F60" s="1">
        <f t="shared" ca="1" si="5"/>
        <v>12</v>
      </c>
      <c r="G60" s="1">
        <f t="shared" ca="1" si="6"/>
        <v>590.76</v>
      </c>
      <c r="H60" s="1">
        <f t="shared" ca="1" si="7"/>
        <v>5513.76</v>
      </c>
      <c r="I60" s="1" t="str">
        <f t="shared" ca="1" si="8"/>
        <v>CC103</v>
      </c>
    </row>
    <row r="61" spans="1:9" x14ac:dyDescent="0.3">
      <c r="A61" s="2">
        <f t="shared" ca="1" si="0"/>
        <v>45481</v>
      </c>
      <c r="B61" s="1" t="str">
        <f t="shared" ca="1" si="1"/>
        <v>Finance</v>
      </c>
      <c r="C61" s="1" t="str">
        <f t="shared" ca="1" si="2"/>
        <v>Marketing Spend</v>
      </c>
      <c r="D61" s="1" t="str">
        <f t="shared" ca="1" si="3"/>
        <v>Alpha Logistics</v>
      </c>
      <c r="E61" s="1">
        <f t="shared" ca="1" si="4"/>
        <v>45215</v>
      </c>
      <c r="F61" s="1">
        <f t="shared" ca="1" si="5"/>
        <v>18</v>
      </c>
      <c r="G61" s="1">
        <f t="shared" ca="1" si="6"/>
        <v>8138.7</v>
      </c>
      <c r="H61" s="1">
        <f t="shared" ca="1" si="7"/>
        <v>53353.7</v>
      </c>
      <c r="I61" s="1" t="str">
        <f t="shared" ca="1" si="8"/>
        <v>CC104</v>
      </c>
    </row>
    <row r="62" spans="1:9" hidden="1" x14ac:dyDescent="0.3">
      <c r="A62" s="2">
        <f t="shared" ca="1" si="0"/>
        <v>45443</v>
      </c>
      <c r="B62" s="1" t="str">
        <f t="shared" ca="1" si="1"/>
        <v>Sales</v>
      </c>
      <c r="C62" s="1" t="str">
        <f t="shared" ca="1" si="2"/>
        <v>Salaries</v>
      </c>
      <c r="D62" s="1" t="str">
        <f t="shared" ca="1" si="3"/>
        <v>Urban Office Mart</v>
      </c>
      <c r="E62" s="1">
        <f t="shared" ca="1" si="4"/>
        <v>926</v>
      </c>
      <c r="F62" s="1">
        <f t="shared" ca="1" si="5"/>
        <v>12</v>
      </c>
      <c r="G62" s="1">
        <f t="shared" ca="1" si="6"/>
        <v>111.12</v>
      </c>
      <c r="H62" s="1">
        <f t="shared" ca="1" si="7"/>
        <v>1037.1199999999999</v>
      </c>
      <c r="I62" s="1" t="str">
        <f t="shared" ca="1" si="8"/>
        <v>CC102</v>
      </c>
    </row>
    <row r="63" spans="1:9" hidden="1" x14ac:dyDescent="0.3">
      <c r="A63" s="2">
        <f t="shared" ca="1" si="0"/>
        <v>45044</v>
      </c>
      <c r="B63" s="1" t="str">
        <f t="shared" ca="1" si="1"/>
        <v>Operations</v>
      </c>
      <c r="C63" s="1" t="str">
        <f t="shared" ca="1" si="2"/>
        <v>Transportation</v>
      </c>
      <c r="D63" s="1" t="str">
        <f t="shared" ca="1" si="3"/>
        <v>Infoserve Pvt Ltd</v>
      </c>
      <c r="E63" s="1">
        <f t="shared" ca="1" si="4"/>
        <v>11591</v>
      </c>
      <c r="F63" s="1">
        <f t="shared" ca="1" si="5"/>
        <v>5</v>
      </c>
      <c r="G63" s="1">
        <f t="shared" ca="1" si="6"/>
        <v>579.54999999999995</v>
      </c>
      <c r="H63" s="1">
        <f t="shared" ca="1" si="7"/>
        <v>12170.55</v>
      </c>
      <c r="I63" s="1" t="str">
        <f t="shared" ca="1" si="8"/>
        <v>CC101</v>
      </c>
    </row>
    <row r="64" spans="1:9" hidden="1" x14ac:dyDescent="0.3">
      <c r="A64" s="2">
        <f t="shared" ca="1" si="0"/>
        <v>45058</v>
      </c>
      <c r="B64" s="1" t="str">
        <f t="shared" ca="1" si="1"/>
        <v>Admin</v>
      </c>
      <c r="C64" s="1" t="str">
        <f t="shared" ca="1" si="2"/>
        <v>Utilities</v>
      </c>
      <c r="D64" s="1" t="str">
        <f t="shared" ca="1" si="3"/>
        <v>QuickFix Services</v>
      </c>
      <c r="E64" s="1">
        <f t="shared" ca="1" si="4"/>
        <v>14231</v>
      </c>
      <c r="F64" s="1">
        <f t="shared" ca="1" si="5"/>
        <v>12</v>
      </c>
      <c r="G64" s="1">
        <f t="shared" ca="1" si="6"/>
        <v>1707.72</v>
      </c>
      <c r="H64" s="1">
        <f t="shared" ca="1" si="7"/>
        <v>15938.72</v>
      </c>
      <c r="I64" s="1" t="str">
        <f t="shared" ca="1" si="8"/>
        <v>CC102</v>
      </c>
    </row>
    <row r="65" spans="1:9" hidden="1" x14ac:dyDescent="0.3">
      <c r="A65" s="2">
        <f t="shared" ca="1" si="0"/>
        <v>45065</v>
      </c>
      <c r="B65" s="1" t="str">
        <f t="shared" ca="1" si="1"/>
        <v>Finance</v>
      </c>
      <c r="C65" s="1" t="str">
        <f t="shared" ca="1" si="2"/>
        <v>Travel</v>
      </c>
      <c r="D65" s="1" t="str">
        <f t="shared" ca="1" si="3"/>
        <v>Universal Systems</v>
      </c>
      <c r="E65" s="1">
        <f t="shared" ca="1" si="4"/>
        <v>20519</v>
      </c>
      <c r="F65" s="1">
        <f t="shared" ca="1" si="5"/>
        <v>18</v>
      </c>
      <c r="G65" s="1">
        <f t="shared" ca="1" si="6"/>
        <v>3693.42</v>
      </c>
      <c r="H65" s="1">
        <f t="shared" ca="1" si="7"/>
        <v>24212.42</v>
      </c>
      <c r="I65" s="1" t="str">
        <f t="shared" ca="1" si="8"/>
        <v>CC105</v>
      </c>
    </row>
    <row r="66" spans="1:9" hidden="1" x14ac:dyDescent="0.3">
      <c r="A66" s="2">
        <f t="shared" ca="1" si="0"/>
        <v>45088</v>
      </c>
      <c r="B66" s="1" t="str">
        <f t="shared" ca="1" si="1"/>
        <v>Sales</v>
      </c>
      <c r="C66" s="1" t="str">
        <f t="shared" ca="1" si="2"/>
        <v>Utilities</v>
      </c>
      <c r="D66" s="1" t="str">
        <f t="shared" ca="1" si="3"/>
        <v>Universal Systems</v>
      </c>
      <c r="E66" s="1">
        <f t="shared" ca="1" si="4"/>
        <v>6617</v>
      </c>
      <c r="F66" s="1">
        <f t="shared" ca="1" si="5"/>
        <v>12</v>
      </c>
      <c r="G66" s="1">
        <f t="shared" ca="1" si="6"/>
        <v>794.04</v>
      </c>
      <c r="H66" s="1">
        <f t="shared" ca="1" si="7"/>
        <v>7411.04</v>
      </c>
      <c r="I66" s="1" t="str">
        <f t="shared" ca="1" si="8"/>
        <v>CC105</v>
      </c>
    </row>
    <row r="67" spans="1:9" x14ac:dyDescent="0.3">
      <c r="A67" s="2">
        <f t="shared" ca="1" si="0"/>
        <v>45525</v>
      </c>
      <c r="B67" s="1" t="str">
        <f t="shared" ca="1" si="1"/>
        <v>IT</v>
      </c>
      <c r="C67" s="1" t="str">
        <f t="shared" ca="1" si="2"/>
        <v>Training</v>
      </c>
      <c r="D67" s="1" t="str">
        <f t="shared" ca="1" si="3"/>
        <v>QuickFix Services</v>
      </c>
      <c r="E67" s="1">
        <f t="shared" ca="1" si="4"/>
        <v>14555</v>
      </c>
      <c r="F67" s="1">
        <f t="shared" ca="1" si="5"/>
        <v>12</v>
      </c>
      <c r="G67" s="1">
        <f t="shared" ca="1" si="6"/>
        <v>1746.6</v>
      </c>
      <c r="H67" s="1">
        <f t="shared" ca="1" si="7"/>
        <v>16301.6</v>
      </c>
      <c r="I67" s="1" t="str">
        <f t="shared" ca="1" si="8"/>
        <v>CC105</v>
      </c>
    </row>
    <row r="68" spans="1:9" hidden="1" x14ac:dyDescent="0.3">
      <c r="A68" s="2">
        <f t="shared" ref="A68:A131" ca="1" si="9">RANDBETWEEN(DATE(2023,1,1), DATE(2024,12,31))</f>
        <v>44967</v>
      </c>
      <c r="B68" s="1" t="str">
        <f t="shared" ref="B68:B131" ca="1" si="10">CHOOSE(RANDBETWEEN(1,8),"HR","Finance","Operations","IT","Marketing","Sales","Procurement","Admin")</f>
        <v>HR</v>
      </c>
      <c r="C68" s="1" t="str">
        <f t="shared" ref="C68:C131" ca="1" si="11">CHOOSE(RANDBETWEEN(1,10),"Travel","Office Supplies","Salaries","Maintenance","Utilities","Software","Training","Marketing Spend","Transportation","Miscellaneous")</f>
        <v>Transportation</v>
      </c>
      <c r="D68" s="1" t="str">
        <f t="shared" ref="D68:D131" ca="1" si="12">CHOOSE(RANDBETWEEN(1,10),
"Infoserve Pvt Ltd",
"Global Traders",
"Alpha Logistics",
"Bright Solutions",
"Star Technologies",
"Urban Office Mart",
"QuickFix Services",
"Skyline Marketing",
"Rapid Transport",
"Universal Systems")</f>
        <v>Universal Systems</v>
      </c>
      <c r="E68" s="1">
        <f t="shared" ref="E68:E131" ca="1" si="13">RANDBETWEEN(500,50000)</f>
        <v>13617</v>
      </c>
      <c r="F68" s="1">
        <f t="shared" ref="F68:F131" ca="1" si="14">CHOOSE(RANDBETWEEN(1,3),5,12,18)</f>
        <v>12</v>
      </c>
      <c r="G68" s="1">
        <f t="shared" ref="G68:G131" ca="1" si="15">E68*F68/100</f>
        <v>1634.04</v>
      </c>
      <c r="H68" s="1">
        <f t="shared" ref="H68:H131" ca="1" si="16">E68+G68</f>
        <v>15251.04</v>
      </c>
      <c r="I68" s="1" t="str">
        <f t="shared" ref="I68:I131" ca="1" si="17">CHOOSE(RANDBETWEEN(1,6),"CC101","CC102","CC103","CC104","CC105","CC106")</f>
        <v>CC106</v>
      </c>
    </row>
    <row r="69" spans="1:9" x14ac:dyDescent="0.3">
      <c r="A69" s="2">
        <f t="shared" ca="1" si="9"/>
        <v>45354</v>
      </c>
      <c r="B69" s="1" t="str">
        <f t="shared" ca="1" si="10"/>
        <v>Operations</v>
      </c>
      <c r="C69" s="1" t="str">
        <f t="shared" ca="1" si="11"/>
        <v>Salaries</v>
      </c>
      <c r="D69" s="1" t="str">
        <f t="shared" ca="1" si="12"/>
        <v>Star Technologies</v>
      </c>
      <c r="E69" s="1">
        <f t="shared" ca="1" si="13"/>
        <v>27434</v>
      </c>
      <c r="F69" s="1">
        <f t="shared" ca="1" si="14"/>
        <v>18</v>
      </c>
      <c r="G69" s="1">
        <f t="shared" ca="1" si="15"/>
        <v>4938.12</v>
      </c>
      <c r="H69" s="1">
        <f t="shared" ca="1" si="16"/>
        <v>32372.12</v>
      </c>
      <c r="I69" s="1" t="str">
        <f t="shared" ca="1" si="17"/>
        <v>CC106</v>
      </c>
    </row>
    <row r="70" spans="1:9" hidden="1" x14ac:dyDescent="0.3">
      <c r="A70" s="2">
        <f t="shared" ca="1" si="9"/>
        <v>45023</v>
      </c>
      <c r="B70" s="1" t="str">
        <f t="shared" ca="1" si="10"/>
        <v>Operations</v>
      </c>
      <c r="C70" s="1" t="str">
        <f t="shared" ca="1" si="11"/>
        <v>Software</v>
      </c>
      <c r="D70" s="1" t="str">
        <f t="shared" ca="1" si="12"/>
        <v>Rapid Transport</v>
      </c>
      <c r="E70" s="1">
        <f t="shared" ca="1" si="13"/>
        <v>16345</v>
      </c>
      <c r="F70" s="1">
        <f t="shared" ca="1" si="14"/>
        <v>5</v>
      </c>
      <c r="G70" s="1">
        <f t="shared" ca="1" si="15"/>
        <v>817.25</v>
      </c>
      <c r="H70" s="1">
        <f t="shared" ca="1" si="16"/>
        <v>17162.25</v>
      </c>
      <c r="I70" s="1" t="str">
        <f t="shared" ca="1" si="17"/>
        <v>CC105</v>
      </c>
    </row>
    <row r="71" spans="1:9" hidden="1" x14ac:dyDescent="0.3">
      <c r="A71" s="2">
        <f t="shared" ca="1" si="9"/>
        <v>45208</v>
      </c>
      <c r="B71" s="1" t="str">
        <f t="shared" ca="1" si="10"/>
        <v>Sales</v>
      </c>
      <c r="C71" s="1" t="str">
        <f t="shared" ca="1" si="11"/>
        <v>Salaries</v>
      </c>
      <c r="D71" s="1" t="str">
        <f t="shared" ca="1" si="12"/>
        <v>Rapid Transport</v>
      </c>
      <c r="E71" s="1">
        <f t="shared" ca="1" si="13"/>
        <v>33490</v>
      </c>
      <c r="F71" s="1">
        <f t="shared" ca="1" si="14"/>
        <v>12</v>
      </c>
      <c r="G71" s="1">
        <f t="shared" ca="1" si="15"/>
        <v>4018.8</v>
      </c>
      <c r="H71" s="1">
        <f t="shared" ca="1" si="16"/>
        <v>37508.800000000003</v>
      </c>
      <c r="I71" s="1" t="str">
        <f t="shared" ca="1" si="17"/>
        <v>CC103</v>
      </c>
    </row>
    <row r="72" spans="1:9" hidden="1" x14ac:dyDescent="0.3">
      <c r="A72" s="2">
        <f t="shared" ca="1" si="9"/>
        <v>45302</v>
      </c>
      <c r="B72" s="1" t="str">
        <f t="shared" ca="1" si="10"/>
        <v>Operations</v>
      </c>
      <c r="C72" s="1" t="str">
        <f t="shared" ca="1" si="11"/>
        <v>Training</v>
      </c>
      <c r="D72" s="1" t="str">
        <f t="shared" ca="1" si="12"/>
        <v>Urban Office Mart</v>
      </c>
      <c r="E72" s="1">
        <f t="shared" ca="1" si="13"/>
        <v>674</v>
      </c>
      <c r="F72" s="1">
        <f t="shared" ca="1" si="14"/>
        <v>18</v>
      </c>
      <c r="G72" s="1">
        <f t="shared" ca="1" si="15"/>
        <v>121.32</v>
      </c>
      <c r="H72" s="1">
        <f t="shared" ca="1" si="16"/>
        <v>795.31999999999994</v>
      </c>
      <c r="I72" s="1" t="str">
        <f t="shared" ca="1" si="17"/>
        <v>CC101</v>
      </c>
    </row>
    <row r="73" spans="1:9" x14ac:dyDescent="0.3">
      <c r="A73" s="2">
        <f t="shared" ca="1" si="9"/>
        <v>45406</v>
      </c>
      <c r="B73" s="1" t="str">
        <f t="shared" ca="1" si="10"/>
        <v>Sales</v>
      </c>
      <c r="C73" s="1" t="str">
        <f t="shared" ca="1" si="11"/>
        <v>Office Supplies</v>
      </c>
      <c r="D73" s="1" t="str">
        <f t="shared" ca="1" si="12"/>
        <v>QuickFix Services</v>
      </c>
      <c r="E73" s="1">
        <f t="shared" ca="1" si="13"/>
        <v>17271</v>
      </c>
      <c r="F73" s="1">
        <f t="shared" ca="1" si="14"/>
        <v>12</v>
      </c>
      <c r="G73" s="1">
        <f t="shared" ca="1" si="15"/>
        <v>2072.52</v>
      </c>
      <c r="H73" s="1">
        <f t="shared" ca="1" si="16"/>
        <v>19343.52</v>
      </c>
      <c r="I73" s="1" t="str">
        <f t="shared" ca="1" si="17"/>
        <v>CC105</v>
      </c>
    </row>
    <row r="74" spans="1:9" hidden="1" x14ac:dyDescent="0.3">
      <c r="A74" s="2">
        <f t="shared" ca="1" si="9"/>
        <v>45539</v>
      </c>
      <c r="B74" s="1" t="str">
        <f t="shared" ca="1" si="10"/>
        <v>Finance</v>
      </c>
      <c r="C74" s="1" t="str">
        <f t="shared" ca="1" si="11"/>
        <v>Travel</v>
      </c>
      <c r="D74" s="1" t="str">
        <f t="shared" ca="1" si="12"/>
        <v>Bright Solutions</v>
      </c>
      <c r="E74" s="1">
        <f t="shared" ca="1" si="13"/>
        <v>13251</v>
      </c>
      <c r="F74" s="1">
        <f t="shared" ca="1" si="14"/>
        <v>18</v>
      </c>
      <c r="G74" s="1">
        <f t="shared" ca="1" si="15"/>
        <v>2385.1799999999998</v>
      </c>
      <c r="H74" s="1">
        <f t="shared" ca="1" si="16"/>
        <v>15636.18</v>
      </c>
      <c r="I74" s="1" t="str">
        <f t="shared" ca="1" si="17"/>
        <v>CC103</v>
      </c>
    </row>
    <row r="75" spans="1:9" hidden="1" x14ac:dyDescent="0.3">
      <c r="A75" s="2">
        <f t="shared" ca="1" si="9"/>
        <v>45198</v>
      </c>
      <c r="B75" s="1" t="str">
        <f t="shared" ca="1" si="10"/>
        <v>HR</v>
      </c>
      <c r="C75" s="1" t="str">
        <f t="shared" ca="1" si="11"/>
        <v>Office Supplies</v>
      </c>
      <c r="D75" s="1" t="str">
        <f t="shared" ca="1" si="12"/>
        <v>Rapid Transport</v>
      </c>
      <c r="E75" s="1">
        <f t="shared" ca="1" si="13"/>
        <v>6090</v>
      </c>
      <c r="F75" s="1">
        <f t="shared" ca="1" si="14"/>
        <v>18</v>
      </c>
      <c r="G75" s="1">
        <f t="shared" ca="1" si="15"/>
        <v>1096.2</v>
      </c>
      <c r="H75" s="1">
        <f t="shared" ca="1" si="16"/>
        <v>7186.2</v>
      </c>
      <c r="I75" s="1" t="str">
        <f t="shared" ca="1" si="17"/>
        <v>CC103</v>
      </c>
    </row>
    <row r="76" spans="1:9" hidden="1" x14ac:dyDescent="0.3">
      <c r="A76" s="2">
        <f t="shared" ca="1" si="9"/>
        <v>45306</v>
      </c>
      <c r="B76" s="1" t="str">
        <f t="shared" ca="1" si="10"/>
        <v>Operations</v>
      </c>
      <c r="C76" s="1" t="str">
        <f t="shared" ca="1" si="11"/>
        <v>Maintenance</v>
      </c>
      <c r="D76" s="1" t="str">
        <f t="shared" ca="1" si="12"/>
        <v>Universal Systems</v>
      </c>
      <c r="E76" s="1">
        <f t="shared" ca="1" si="13"/>
        <v>19761</v>
      </c>
      <c r="F76" s="1">
        <f t="shared" ca="1" si="14"/>
        <v>12</v>
      </c>
      <c r="G76" s="1">
        <f t="shared" ca="1" si="15"/>
        <v>2371.3200000000002</v>
      </c>
      <c r="H76" s="1">
        <f t="shared" ca="1" si="16"/>
        <v>22132.32</v>
      </c>
      <c r="I76" s="1" t="str">
        <f t="shared" ca="1" si="17"/>
        <v>CC103</v>
      </c>
    </row>
    <row r="77" spans="1:9" hidden="1" x14ac:dyDescent="0.3">
      <c r="A77" s="2">
        <f t="shared" ca="1" si="9"/>
        <v>45311</v>
      </c>
      <c r="B77" s="1" t="str">
        <f t="shared" ca="1" si="10"/>
        <v>Marketing</v>
      </c>
      <c r="C77" s="1" t="str">
        <f t="shared" ca="1" si="11"/>
        <v>Marketing Spend</v>
      </c>
      <c r="D77" s="1" t="str">
        <f t="shared" ca="1" si="12"/>
        <v>QuickFix Services</v>
      </c>
      <c r="E77" s="1">
        <f t="shared" ca="1" si="13"/>
        <v>15537</v>
      </c>
      <c r="F77" s="1">
        <f t="shared" ca="1" si="14"/>
        <v>12</v>
      </c>
      <c r="G77" s="1">
        <f t="shared" ca="1" si="15"/>
        <v>1864.44</v>
      </c>
      <c r="H77" s="1">
        <f t="shared" ca="1" si="16"/>
        <v>17401.439999999999</v>
      </c>
      <c r="I77" s="1" t="str">
        <f t="shared" ca="1" si="17"/>
        <v>CC102</v>
      </c>
    </row>
    <row r="78" spans="1:9" x14ac:dyDescent="0.3">
      <c r="A78" s="2">
        <f t="shared" ca="1" si="9"/>
        <v>44954</v>
      </c>
      <c r="B78" s="1" t="str">
        <f t="shared" ca="1" si="10"/>
        <v>Finance</v>
      </c>
      <c r="C78" s="1" t="str">
        <f t="shared" ca="1" si="11"/>
        <v>Salaries</v>
      </c>
      <c r="D78" s="1" t="str">
        <f t="shared" ca="1" si="12"/>
        <v>Global Traders</v>
      </c>
      <c r="E78" s="1">
        <f t="shared" ca="1" si="13"/>
        <v>41417</v>
      </c>
      <c r="F78" s="1">
        <f t="shared" ca="1" si="14"/>
        <v>18</v>
      </c>
      <c r="G78" s="1">
        <f t="shared" ca="1" si="15"/>
        <v>7455.06</v>
      </c>
      <c r="H78" s="1">
        <f t="shared" ca="1" si="16"/>
        <v>48872.06</v>
      </c>
      <c r="I78" s="1" t="str">
        <f t="shared" ca="1" si="17"/>
        <v>CC101</v>
      </c>
    </row>
    <row r="79" spans="1:9" hidden="1" x14ac:dyDescent="0.3">
      <c r="A79" s="2">
        <f t="shared" ca="1" si="9"/>
        <v>45331</v>
      </c>
      <c r="B79" s="1" t="str">
        <f t="shared" ca="1" si="10"/>
        <v>Finance</v>
      </c>
      <c r="C79" s="1" t="str">
        <f t="shared" ca="1" si="11"/>
        <v>Salaries</v>
      </c>
      <c r="D79" s="1" t="str">
        <f t="shared" ca="1" si="12"/>
        <v>Star Technologies</v>
      </c>
      <c r="E79" s="1">
        <f t="shared" ca="1" si="13"/>
        <v>40864</v>
      </c>
      <c r="F79" s="1">
        <f t="shared" ca="1" si="14"/>
        <v>18</v>
      </c>
      <c r="G79" s="1">
        <f t="shared" ca="1" si="15"/>
        <v>7355.52</v>
      </c>
      <c r="H79" s="1">
        <f t="shared" ca="1" si="16"/>
        <v>48219.520000000004</v>
      </c>
      <c r="I79" s="1" t="str">
        <f t="shared" ca="1" si="17"/>
        <v>CC102</v>
      </c>
    </row>
    <row r="80" spans="1:9" hidden="1" x14ac:dyDescent="0.3">
      <c r="A80" s="2">
        <f t="shared" ca="1" si="9"/>
        <v>45132</v>
      </c>
      <c r="B80" s="1" t="str">
        <f t="shared" ca="1" si="10"/>
        <v>Marketing</v>
      </c>
      <c r="C80" s="1" t="str">
        <f t="shared" ca="1" si="11"/>
        <v>Office Supplies</v>
      </c>
      <c r="D80" s="1" t="str">
        <f t="shared" ca="1" si="12"/>
        <v>Bright Solutions</v>
      </c>
      <c r="E80" s="1">
        <f t="shared" ca="1" si="13"/>
        <v>26157</v>
      </c>
      <c r="F80" s="1">
        <f t="shared" ca="1" si="14"/>
        <v>12</v>
      </c>
      <c r="G80" s="1">
        <f t="shared" ca="1" si="15"/>
        <v>3138.84</v>
      </c>
      <c r="H80" s="1">
        <f t="shared" ca="1" si="16"/>
        <v>29295.84</v>
      </c>
      <c r="I80" s="1" t="str">
        <f t="shared" ca="1" si="17"/>
        <v>CC106</v>
      </c>
    </row>
    <row r="81" spans="1:9" x14ac:dyDescent="0.3">
      <c r="A81" s="2">
        <f t="shared" ca="1" si="9"/>
        <v>45013</v>
      </c>
      <c r="B81" s="1" t="str">
        <f t="shared" ca="1" si="10"/>
        <v>HR</v>
      </c>
      <c r="C81" s="1" t="str">
        <f t="shared" ca="1" si="11"/>
        <v>Maintenance</v>
      </c>
      <c r="D81" s="1" t="str">
        <f t="shared" ca="1" si="12"/>
        <v>Star Technologies</v>
      </c>
      <c r="E81" s="1">
        <f t="shared" ca="1" si="13"/>
        <v>44146</v>
      </c>
      <c r="F81" s="1">
        <f t="shared" ca="1" si="14"/>
        <v>12</v>
      </c>
      <c r="G81" s="1">
        <f t="shared" ca="1" si="15"/>
        <v>5297.52</v>
      </c>
      <c r="H81" s="1">
        <f t="shared" ca="1" si="16"/>
        <v>49443.520000000004</v>
      </c>
      <c r="I81" s="1" t="str">
        <f t="shared" ca="1" si="17"/>
        <v>CC105</v>
      </c>
    </row>
    <row r="82" spans="1:9" hidden="1" x14ac:dyDescent="0.3">
      <c r="A82" s="2">
        <f t="shared" ca="1" si="9"/>
        <v>45161</v>
      </c>
      <c r="B82" s="1" t="str">
        <f t="shared" ca="1" si="10"/>
        <v>Finance</v>
      </c>
      <c r="C82" s="1" t="str">
        <f t="shared" ca="1" si="11"/>
        <v>Office Supplies</v>
      </c>
      <c r="D82" s="1" t="str">
        <f t="shared" ca="1" si="12"/>
        <v>Bright Solutions</v>
      </c>
      <c r="E82" s="1">
        <f t="shared" ca="1" si="13"/>
        <v>46977</v>
      </c>
      <c r="F82" s="1">
        <f t="shared" ca="1" si="14"/>
        <v>18</v>
      </c>
      <c r="G82" s="1">
        <f t="shared" ca="1" si="15"/>
        <v>8455.86</v>
      </c>
      <c r="H82" s="1">
        <f t="shared" ca="1" si="16"/>
        <v>55432.86</v>
      </c>
      <c r="I82" s="1" t="str">
        <f t="shared" ca="1" si="17"/>
        <v>CC104</v>
      </c>
    </row>
    <row r="83" spans="1:9" hidden="1" x14ac:dyDescent="0.3">
      <c r="A83" s="2">
        <f t="shared" ca="1" si="9"/>
        <v>45023</v>
      </c>
      <c r="B83" s="1" t="str">
        <f t="shared" ca="1" si="10"/>
        <v>Operations</v>
      </c>
      <c r="C83" s="1" t="str">
        <f t="shared" ca="1" si="11"/>
        <v>Software</v>
      </c>
      <c r="D83" s="1" t="str">
        <f t="shared" ca="1" si="12"/>
        <v>Rapid Transport</v>
      </c>
      <c r="E83" s="1">
        <f t="shared" ca="1" si="13"/>
        <v>28272</v>
      </c>
      <c r="F83" s="1">
        <f t="shared" ca="1" si="14"/>
        <v>5</v>
      </c>
      <c r="G83" s="1">
        <f t="shared" ca="1" si="15"/>
        <v>1413.6</v>
      </c>
      <c r="H83" s="1">
        <f t="shared" ca="1" si="16"/>
        <v>29685.599999999999</v>
      </c>
      <c r="I83" s="1" t="str">
        <f t="shared" ca="1" si="17"/>
        <v>CC105</v>
      </c>
    </row>
    <row r="84" spans="1:9" hidden="1" x14ac:dyDescent="0.3">
      <c r="A84" s="2">
        <f t="shared" ca="1" si="9"/>
        <v>45327</v>
      </c>
      <c r="B84" s="1" t="str">
        <f t="shared" ca="1" si="10"/>
        <v>Finance</v>
      </c>
      <c r="C84" s="1" t="str">
        <f t="shared" ca="1" si="11"/>
        <v>Marketing Spend</v>
      </c>
      <c r="D84" s="1" t="str">
        <f t="shared" ca="1" si="12"/>
        <v>QuickFix Services</v>
      </c>
      <c r="E84" s="1">
        <f t="shared" ca="1" si="13"/>
        <v>49599</v>
      </c>
      <c r="F84" s="1">
        <f t="shared" ca="1" si="14"/>
        <v>5</v>
      </c>
      <c r="G84" s="1">
        <f t="shared" ca="1" si="15"/>
        <v>2479.9499999999998</v>
      </c>
      <c r="H84" s="1">
        <f t="shared" ca="1" si="16"/>
        <v>52078.95</v>
      </c>
      <c r="I84" s="1" t="str">
        <f t="shared" ca="1" si="17"/>
        <v>CC102</v>
      </c>
    </row>
    <row r="85" spans="1:9" x14ac:dyDescent="0.3">
      <c r="A85" s="2">
        <f t="shared" ca="1" si="9"/>
        <v>45581</v>
      </c>
      <c r="B85" s="1" t="str">
        <f t="shared" ca="1" si="10"/>
        <v>Procurement</v>
      </c>
      <c r="C85" s="1" t="str">
        <f t="shared" ca="1" si="11"/>
        <v>Maintenance</v>
      </c>
      <c r="D85" s="1" t="str">
        <f t="shared" ca="1" si="12"/>
        <v>Skyline Marketing</v>
      </c>
      <c r="E85" s="1">
        <f t="shared" ca="1" si="13"/>
        <v>40780</v>
      </c>
      <c r="F85" s="1">
        <f t="shared" ca="1" si="14"/>
        <v>18</v>
      </c>
      <c r="G85" s="1">
        <f t="shared" ca="1" si="15"/>
        <v>7340.4</v>
      </c>
      <c r="H85" s="1">
        <f t="shared" ca="1" si="16"/>
        <v>48120.4</v>
      </c>
      <c r="I85" s="1" t="str">
        <f t="shared" ca="1" si="17"/>
        <v>CC106</v>
      </c>
    </row>
    <row r="86" spans="1:9" x14ac:dyDescent="0.3">
      <c r="A86" s="2">
        <f t="shared" ca="1" si="9"/>
        <v>45236</v>
      </c>
      <c r="B86" s="1" t="str">
        <f t="shared" ca="1" si="10"/>
        <v>Marketing</v>
      </c>
      <c r="C86" s="1" t="str">
        <f t="shared" ca="1" si="11"/>
        <v>Software</v>
      </c>
      <c r="D86" s="1" t="str">
        <f t="shared" ca="1" si="12"/>
        <v>Urban Office Mart</v>
      </c>
      <c r="E86" s="1">
        <f t="shared" ca="1" si="13"/>
        <v>48177</v>
      </c>
      <c r="F86" s="1">
        <f t="shared" ca="1" si="14"/>
        <v>12</v>
      </c>
      <c r="G86" s="1">
        <f t="shared" ca="1" si="15"/>
        <v>5781.24</v>
      </c>
      <c r="H86" s="1">
        <f t="shared" ca="1" si="16"/>
        <v>53958.239999999998</v>
      </c>
      <c r="I86" s="1" t="str">
        <f t="shared" ca="1" si="17"/>
        <v>CC103</v>
      </c>
    </row>
    <row r="87" spans="1:9" x14ac:dyDescent="0.3">
      <c r="A87" s="2">
        <f t="shared" ca="1" si="9"/>
        <v>45454</v>
      </c>
      <c r="B87" s="1" t="str">
        <f t="shared" ca="1" si="10"/>
        <v>HR</v>
      </c>
      <c r="C87" s="1" t="str">
        <f t="shared" ca="1" si="11"/>
        <v>Marketing Spend</v>
      </c>
      <c r="D87" s="1" t="str">
        <f t="shared" ca="1" si="12"/>
        <v>Alpha Logistics</v>
      </c>
      <c r="E87" s="1">
        <f t="shared" ca="1" si="13"/>
        <v>21598</v>
      </c>
      <c r="F87" s="1">
        <f t="shared" ca="1" si="14"/>
        <v>18</v>
      </c>
      <c r="G87" s="1">
        <f t="shared" ca="1" si="15"/>
        <v>3887.64</v>
      </c>
      <c r="H87" s="1">
        <f t="shared" ca="1" si="16"/>
        <v>25485.64</v>
      </c>
      <c r="I87" s="1" t="str">
        <f t="shared" ca="1" si="17"/>
        <v>CC102</v>
      </c>
    </row>
    <row r="88" spans="1:9" x14ac:dyDescent="0.3">
      <c r="A88" s="2">
        <f t="shared" ca="1" si="9"/>
        <v>45120</v>
      </c>
      <c r="B88" s="1" t="str">
        <f t="shared" ca="1" si="10"/>
        <v>Sales</v>
      </c>
      <c r="C88" s="1" t="str">
        <f t="shared" ca="1" si="11"/>
        <v>Marketing Spend</v>
      </c>
      <c r="D88" s="1" t="str">
        <f t="shared" ca="1" si="12"/>
        <v>Universal Systems</v>
      </c>
      <c r="E88" s="1">
        <f t="shared" ca="1" si="13"/>
        <v>28798</v>
      </c>
      <c r="F88" s="1">
        <f t="shared" ca="1" si="14"/>
        <v>12</v>
      </c>
      <c r="G88" s="1">
        <f t="shared" ca="1" si="15"/>
        <v>3455.76</v>
      </c>
      <c r="H88" s="1">
        <f t="shared" ca="1" si="16"/>
        <v>32253.760000000002</v>
      </c>
      <c r="I88" s="1" t="str">
        <f t="shared" ca="1" si="17"/>
        <v>CC104</v>
      </c>
    </row>
    <row r="89" spans="1:9" hidden="1" x14ac:dyDescent="0.3">
      <c r="A89" s="2">
        <f t="shared" ca="1" si="9"/>
        <v>45576</v>
      </c>
      <c r="B89" s="1" t="str">
        <f t="shared" ca="1" si="10"/>
        <v>Finance</v>
      </c>
      <c r="C89" s="1" t="str">
        <f t="shared" ca="1" si="11"/>
        <v>Marketing Spend</v>
      </c>
      <c r="D89" s="1" t="str">
        <f t="shared" ca="1" si="12"/>
        <v>Bright Solutions</v>
      </c>
      <c r="E89" s="1">
        <f t="shared" ca="1" si="13"/>
        <v>41902</v>
      </c>
      <c r="F89" s="1">
        <f t="shared" ca="1" si="14"/>
        <v>12</v>
      </c>
      <c r="G89" s="1">
        <f t="shared" ca="1" si="15"/>
        <v>5028.24</v>
      </c>
      <c r="H89" s="1">
        <f t="shared" ca="1" si="16"/>
        <v>46930.239999999998</v>
      </c>
      <c r="I89" s="1" t="str">
        <f t="shared" ca="1" si="17"/>
        <v>CC104</v>
      </c>
    </row>
    <row r="90" spans="1:9" hidden="1" x14ac:dyDescent="0.3">
      <c r="A90" s="2">
        <f t="shared" ca="1" si="9"/>
        <v>45316</v>
      </c>
      <c r="B90" s="1" t="str">
        <f t="shared" ca="1" si="10"/>
        <v>Marketing</v>
      </c>
      <c r="C90" s="1" t="str">
        <f t="shared" ca="1" si="11"/>
        <v>Travel</v>
      </c>
      <c r="D90" s="1" t="str">
        <f t="shared" ca="1" si="12"/>
        <v>Infoserve Pvt Ltd</v>
      </c>
      <c r="E90" s="1">
        <f t="shared" ca="1" si="13"/>
        <v>21923</v>
      </c>
      <c r="F90" s="1">
        <f t="shared" ca="1" si="14"/>
        <v>5</v>
      </c>
      <c r="G90" s="1">
        <f t="shared" ca="1" si="15"/>
        <v>1096.1500000000001</v>
      </c>
      <c r="H90" s="1">
        <f t="shared" ca="1" si="16"/>
        <v>23019.15</v>
      </c>
      <c r="I90" s="1" t="str">
        <f t="shared" ca="1" si="17"/>
        <v>CC106</v>
      </c>
    </row>
    <row r="91" spans="1:9" hidden="1" x14ac:dyDescent="0.3">
      <c r="A91" s="2">
        <f t="shared" ca="1" si="9"/>
        <v>45193</v>
      </c>
      <c r="B91" s="1" t="str">
        <f t="shared" ca="1" si="10"/>
        <v>IT</v>
      </c>
      <c r="C91" s="1" t="str">
        <f t="shared" ca="1" si="11"/>
        <v>Travel</v>
      </c>
      <c r="D91" s="1" t="str">
        <f t="shared" ca="1" si="12"/>
        <v>Rapid Transport</v>
      </c>
      <c r="E91" s="1">
        <f t="shared" ca="1" si="13"/>
        <v>25064</v>
      </c>
      <c r="F91" s="1">
        <f t="shared" ca="1" si="14"/>
        <v>5</v>
      </c>
      <c r="G91" s="1">
        <f t="shared" ca="1" si="15"/>
        <v>1253.2</v>
      </c>
      <c r="H91" s="1">
        <f t="shared" ca="1" si="16"/>
        <v>26317.200000000001</v>
      </c>
      <c r="I91" s="1" t="str">
        <f t="shared" ca="1" si="17"/>
        <v>CC106</v>
      </c>
    </row>
    <row r="92" spans="1:9" hidden="1" x14ac:dyDescent="0.3">
      <c r="A92" s="2">
        <f t="shared" ca="1" si="9"/>
        <v>45064</v>
      </c>
      <c r="B92" s="1" t="str">
        <f t="shared" ca="1" si="10"/>
        <v>HR</v>
      </c>
      <c r="C92" s="1" t="str">
        <f t="shared" ca="1" si="11"/>
        <v>Transportation</v>
      </c>
      <c r="D92" s="1" t="str">
        <f t="shared" ca="1" si="12"/>
        <v>QuickFix Services</v>
      </c>
      <c r="E92" s="1">
        <f t="shared" ca="1" si="13"/>
        <v>6521</v>
      </c>
      <c r="F92" s="1">
        <f t="shared" ca="1" si="14"/>
        <v>18</v>
      </c>
      <c r="G92" s="1">
        <f t="shared" ca="1" si="15"/>
        <v>1173.78</v>
      </c>
      <c r="H92" s="1">
        <f t="shared" ca="1" si="16"/>
        <v>7694.78</v>
      </c>
      <c r="I92" s="1" t="str">
        <f t="shared" ca="1" si="17"/>
        <v>CC105</v>
      </c>
    </row>
    <row r="93" spans="1:9" hidden="1" x14ac:dyDescent="0.3">
      <c r="A93" s="2">
        <f t="shared" ca="1" si="9"/>
        <v>45307</v>
      </c>
      <c r="B93" s="1" t="str">
        <f t="shared" ca="1" si="10"/>
        <v>Finance</v>
      </c>
      <c r="C93" s="1" t="str">
        <f t="shared" ca="1" si="11"/>
        <v>Marketing Spend</v>
      </c>
      <c r="D93" s="1" t="str">
        <f t="shared" ca="1" si="12"/>
        <v>Universal Systems</v>
      </c>
      <c r="E93" s="1">
        <f t="shared" ca="1" si="13"/>
        <v>36904</v>
      </c>
      <c r="F93" s="1">
        <f t="shared" ca="1" si="14"/>
        <v>5</v>
      </c>
      <c r="G93" s="1">
        <f t="shared" ca="1" si="15"/>
        <v>1845.2</v>
      </c>
      <c r="H93" s="1">
        <f t="shared" ca="1" si="16"/>
        <v>38749.199999999997</v>
      </c>
      <c r="I93" s="1" t="str">
        <f t="shared" ca="1" si="17"/>
        <v>CC106</v>
      </c>
    </row>
    <row r="94" spans="1:9" hidden="1" x14ac:dyDescent="0.3">
      <c r="A94" s="2">
        <f t="shared" ca="1" si="9"/>
        <v>44959</v>
      </c>
      <c r="B94" s="1" t="str">
        <f t="shared" ca="1" si="10"/>
        <v>HR</v>
      </c>
      <c r="C94" s="1" t="str">
        <f t="shared" ca="1" si="11"/>
        <v>Salaries</v>
      </c>
      <c r="D94" s="1" t="str">
        <f t="shared" ca="1" si="12"/>
        <v>Universal Systems</v>
      </c>
      <c r="E94" s="1">
        <f t="shared" ca="1" si="13"/>
        <v>26838</v>
      </c>
      <c r="F94" s="1">
        <f t="shared" ca="1" si="14"/>
        <v>18</v>
      </c>
      <c r="G94" s="1">
        <f t="shared" ca="1" si="15"/>
        <v>4830.84</v>
      </c>
      <c r="H94" s="1">
        <f t="shared" ca="1" si="16"/>
        <v>31668.84</v>
      </c>
      <c r="I94" s="1" t="str">
        <f t="shared" ca="1" si="17"/>
        <v>CC101</v>
      </c>
    </row>
    <row r="95" spans="1:9" hidden="1" x14ac:dyDescent="0.3">
      <c r="A95" s="2">
        <f t="shared" ca="1" si="9"/>
        <v>45043</v>
      </c>
      <c r="B95" s="1" t="str">
        <f t="shared" ca="1" si="10"/>
        <v>HR</v>
      </c>
      <c r="C95" s="1" t="str">
        <f t="shared" ca="1" si="11"/>
        <v>Maintenance</v>
      </c>
      <c r="D95" s="1" t="str">
        <f t="shared" ca="1" si="12"/>
        <v>Rapid Transport</v>
      </c>
      <c r="E95" s="1">
        <f t="shared" ca="1" si="13"/>
        <v>3085</v>
      </c>
      <c r="F95" s="1">
        <f t="shared" ca="1" si="14"/>
        <v>5</v>
      </c>
      <c r="G95" s="1">
        <f t="shared" ca="1" si="15"/>
        <v>154.25</v>
      </c>
      <c r="H95" s="1">
        <f t="shared" ca="1" si="16"/>
        <v>3239.25</v>
      </c>
      <c r="I95" s="1" t="str">
        <f t="shared" ca="1" si="17"/>
        <v>CC106</v>
      </c>
    </row>
    <row r="96" spans="1:9" hidden="1" x14ac:dyDescent="0.3">
      <c r="A96" s="2">
        <f t="shared" ca="1" si="9"/>
        <v>45016</v>
      </c>
      <c r="B96" s="1" t="str">
        <f t="shared" ca="1" si="10"/>
        <v>Operations</v>
      </c>
      <c r="C96" s="1" t="str">
        <f t="shared" ca="1" si="11"/>
        <v>Office Supplies</v>
      </c>
      <c r="D96" s="1" t="str">
        <f t="shared" ca="1" si="12"/>
        <v>Bright Solutions</v>
      </c>
      <c r="E96" s="1">
        <f t="shared" ca="1" si="13"/>
        <v>15623</v>
      </c>
      <c r="F96" s="1">
        <f t="shared" ca="1" si="14"/>
        <v>18</v>
      </c>
      <c r="G96" s="1">
        <f t="shared" ca="1" si="15"/>
        <v>2812.14</v>
      </c>
      <c r="H96" s="1">
        <f t="shared" ca="1" si="16"/>
        <v>18435.14</v>
      </c>
      <c r="I96" s="1" t="str">
        <f t="shared" ca="1" si="17"/>
        <v>CC105</v>
      </c>
    </row>
    <row r="97" spans="1:9" x14ac:dyDescent="0.3">
      <c r="A97" s="2">
        <f t="shared" ca="1" si="9"/>
        <v>45141</v>
      </c>
      <c r="B97" s="1" t="str">
        <f t="shared" ca="1" si="10"/>
        <v>Sales</v>
      </c>
      <c r="C97" s="1" t="str">
        <f t="shared" ca="1" si="11"/>
        <v>Training</v>
      </c>
      <c r="D97" s="1" t="str">
        <f t="shared" ca="1" si="12"/>
        <v>Alpha Logistics</v>
      </c>
      <c r="E97" s="1">
        <f t="shared" ca="1" si="13"/>
        <v>31890</v>
      </c>
      <c r="F97" s="1">
        <f t="shared" ca="1" si="14"/>
        <v>5</v>
      </c>
      <c r="G97" s="1">
        <f t="shared" ca="1" si="15"/>
        <v>1594.5</v>
      </c>
      <c r="H97" s="1">
        <f t="shared" ca="1" si="16"/>
        <v>33484.5</v>
      </c>
      <c r="I97" s="1" t="str">
        <f t="shared" ca="1" si="17"/>
        <v>CC106</v>
      </c>
    </row>
    <row r="98" spans="1:9" hidden="1" x14ac:dyDescent="0.3">
      <c r="A98" s="2">
        <f t="shared" ca="1" si="9"/>
        <v>45385</v>
      </c>
      <c r="B98" s="1" t="str">
        <f t="shared" ca="1" si="10"/>
        <v>HR</v>
      </c>
      <c r="C98" s="1" t="str">
        <f t="shared" ca="1" si="11"/>
        <v>Software</v>
      </c>
      <c r="D98" s="1" t="str">
        <f t="shared" ca="1" si="12"/>
        <v>Star Technologies</v>
      </c>
      <c r="E98" s="1">
        <f t="shared" ca="1" si="13"/>
        <v>42161</v>
      </c>
      <c r="F98" s="1">
        <f t="shared" ca="1" si="14"/>
        <v>5</v>
      </c>
      <c r="G98" s="1">
        <f t="shared" ca="1" si="15"/>
        <v>2108.0500000000002</v>
      </c>
      <c r="H98" s="1">
        <f t="shared" ca="1" si="16"/>
        <v>44269.05</v>
      </c>
      <c r="I98" s="1" t="str">
        <f t="shared" ca="1" si="17"/>
        <v>CC104</v>
      </c>
    </row>
    <row r="99" spans="1:9" hidden="1" x14ac:dyDescent="0.3">
      <c r="A99" s="2">
        <f t="shared" ca="1" si="9"/>
        <v>45197</v>
      </c>
      <c r="B99" s="1" t="str">
        <f t="shared" ca="1" si="10"/>
        <v>HR</v>
      </c>
      <c r="C99" s="1" t="str">
        <f t="shared" ca="1" si="11"/>
        <v>Utilities</v>
      </c>
      <c r="D99" s="1" t="str">
        <f t="shared" ca="1" si="12"/>
        <v>Bright Solutions</v>
      </c>
      <c r="E99" s="1">
        <f t="shared" ca="1" si="13"/>
        <v>38006</v>
      </c>
      <c r="F99" s="1">
        <f t="shared" ca="1" si="14"/>
        <v>18</v>
      </c>
      <c r="G99" s="1">
        <f t="shared" ca="1" si="15"/>
        <v>6841.08</v>
      </c>
      <c r="H99" s="1">
        <f t="shared" ca="1" si="16"/>
        <v>44847.08</v>
      </c>
      <c r="I99" s="1" t="str">
        <f t="shared" ca="1" si="17"/>
        <v>CC103</v>
      </c>
    </row>
    <row r="100" spans="1:9" hidden="1" x14ac:dyDescent="0.3">
      <c r="A100" s="2">
        <f t="shared" ca="1" si="9"/>
        <v>45242</v>
      </c>
      <c r="B100" s="1" t="str">
        <f t="shared" ca="1" si="10"/>
        <v>HR</v>
      </c>
      <c r="C100" s="1" t="str">
        <f t="shared" ca="1" si="11"/>
        <v>Maintenance</v>
      </c>
      <c r="D100" s="1" t="str">
        <f t="shared" ca="1" si="12"/>
        <v>Global Traders</v>
      </c>
      <c r="E100" s="1">
        <f t="shared" ca="1" si="13"/>
        <v>48978</v>
      </c>
      <c r="F100" s="1">
        <f t="shared" ca="1" si="14"/>
        <v>12</v>
      </c>
      <c r="G100" s="1">
        <f t="shared" ca="1" si="15"/>
        <v>5877.36</v>
      </c>
      <c r="H100" s="1">
        <f t="shared" ca="1" si="16"/>
        <v>54855.360000000001</v>
      </c>
      <c r="I100" s="1" t="str">
        <f t="shared" ca="1" si="17"/>
        <v>CC102</v>
      </c>
    </row>
    <row r="101" spans="1:9" x14ac:dyDescent="0.3">
      <c r="A101" s="2">
        <f t="shared" ca="1" si="9"/>
        <v>45465</v>
      </c>
      <c r="B101" s="1" t="str">
        <f t="shared" ca="1" si="10"/>
        <v>Procurement</v>
      </c>
      <c r="C101" s="1" t="str">
        <f t="shared" ca="1" si="11"/>
        <v>Training</v>
      </c>
      <c r="D101" s="1" t="str">
        <f t="shared" ca="1" si="12"/>
        <v>Urban Office Mart</v>
      </c>
      <c r="E101" s="1">
        <f t="shared" ca="1" si="13"/>
        <v>33860</v>
      </c>
      <c r="F101" s="1">
        <f t="shared" ca="1" si="14"/>
        <v>18</v>
      </c>
      <c r="G101" s="1">
        <f t="shared" ca="1" si="15"/>
        <v>6094.8</v>
      </c>
      <c r="H101" s="1">
        <f t="shared" ca="1" si="16"/>
        <v>39954.800000000003</v>
      </c>
      <c r="I101" s="1" t="str">
        <f t="shared" ca="1" si="17"/>
        <v>CC102</v>
      </c>
    </row>
    <row r="102" spans="1:9" x14ac:dyDescent="0.3">
      <c r="A102" s="2">
        <f t="shared" ca="1" si="9"/>
        <v>45043</v>
      </c>
      <c r="B102" s="1" t="str">
        <f t="shared" ca="1" si="10"/>
        <v>IT</v>
      </c>
      <c r="C102" s="1" t="str">
        <f t="shared" ca="1" si="11"/>
        <v>Travel</v>
      </c>
      <c r="D102" s="1" t="str">
        <f t="shared" ca="1" si="12"/>
        <v>Skyline Marketing</v>
      </c>
      <c r="E102" s="1">
        <f t="shared" ca="1" si="13"/>
        <v>39908</v>
      </c>
      <c r="F102" s="1">
        <f t="shared" ca="1" si="14"/>
        <v>12</v>
      </c>
      <c r="G102" s="1">
        <f t="shared" ca="1" si="15"/>
        <v>4788.96</v>
      </c>
      <c r="H102" s="1">
        <f t="shared" ca="1" si="16"/>
        <v>44696.959999999999</v>
      </c>
      <c r="I102" s="1" t="str">
        <f t="shared" ca="1" si="17"/>
        <v>CC105</v>
      </c>
    </row>
    <row r="103" spans="1:9" x14ac:dyDescent="0.3">
      <c r="A103" s="2">
        <f t="shared" ca="1" si="9"/>
        <v>45235</v>
      </c>
      <c r="B103" s="1" t="str">
        <f t="shared" ca="1" si="10"/>
        <v>Sales</v>
      </c>
      <c r="C103" s="1" t="str">
        <f t="shared" ca="1" si="11"/>
        <v>Marketing Spend</v>
      </c>
      <c r="D103" s="1" t="str">
        <f t="shared" ca="1" si="12"/>
        <v>Star Technologies</v>
      </c>
      <c r="E103" s="1">
        <f t="shared" ca="1" si="13"/>
        <v>17779</v>
      </c>
      <c r="F103" s="1">
        <f t="shared" ca="1" si="14"/>
        <v>18</v>
      </c>
      <c r="G103" s="1">
        <f t="shared" ca="1" si="15"/>
        <v>3200.22</v>
      </c>
      <c r="H103" s="1">
        <f t="shared" ca="1" si="16"/>
        <v>20979.22</v>
      </c>
      <c r="I103" s="1" t="str">
        <f t="shared" ca="1" si="17"/>
        <v>CC101</v>
      </c>
    </row>
    <row r="104" spans="1:9" hidden="1" x14ac:dyDescent="0.3">
      <c r="A104" s="2">
        <f t="shared" ca="1" si="9"/>
        <v>45628</v>
      </c>
      <c r="B104" s="1" t="str">
        <f t="shared" ca="1" si="10"/>
        <v>Sales</v>
      </c>
      <c r="C104" s="1" t="str">
        <f t="shared" ca="1" si="11"/>
        <v>Training</v>
      </c>
      <c r="D104" s="1" t="str">
        <f t="shared" ca="1" si="12"/>
        <v>Star Technologies</v>
      </c>
      <c r="E104" s="1">
        <f t="shared" ca="1" si="13"/>
        <v>8105</v>
      </c>
      <c r="F104" s="1">
        <f t="shared" ca="1" si="14"/>
        <v>12</v>
      </c>
      <c r="G104" s="1">
        <f t="shared" ca="1" si="15"/>
        <v>972.6</v>
      </c>
      <c r="H104" s="1">
        <f t="shared" ca="1" si="16"/>
        <v>9077.6</v>
      </c>
      <c r="I104" s="1" t="str">
        <f t="shared" ca="1" si="17"/>
        <v>CC104</v>
      </c>
    </row>
    <row r="105" spans="1:9" x14ac:dyDescent="0.3">
      <c r="A105" s="2">
        <f t="shared" ca="1" si="9"/>
        <v>45169</v>
      </c>
      <c r="B105" s="1" t="str">
        <f t="shared" ca="1" si="10"/>
        <v>Operations</v>
      </c>
      <c r="C105" s="1" t="str">
        <f t="shared" ca="1" si="11"/>
        <v>Marketing Spend</v>
      </c>
      <c r="D105" s="1" t="str">
        <f t="shared" ca="1" si="12"/>
        <v>Urban Office Mart</v>
      </c>
      <c r="E105" s="1">
        <f t="shared" ca="1" si="13"/>
        <v>3174</v>
      </c>
      <c r="F105" s="1">
        <f t="shared" ca="1" si="14"/>
        <v>18</v>
      </c>
      <c r="G105" s="1">
        <f t="shared" ca="1" si="15"/>
        <v>571.32000000000005</v>
      </c>
      <c r="H105" s="1">
        <f t="shared" ca="1" si="16"/>
        <v>3745.32</v>
      </c>
      <c r="I105" s="1" t="str">
        <f t="shared" ca="1" si="17"/>
        <v>CC102</v>
      </c>
    </row>
    <row r="106" spans="1:9" x14ac:dyDescent="0.3">
      <c r="A106" s="2">
        <f t="shared" ca="1" si="9"/>
        <v>45183</v>
      </c>
      <c r="B106" s="1" t="str">
        <f t="shared" ca="1" si="10"/>
        <v>Sales</v>
      </c>
      <c r="C106" s="1" t="str">
        <f t="shared" ca="1" si="11"/>
        <v>Travel</v>
      </c>
      <c r="D106" s="1" t="str">
        <f t="shared" ca="1" si="12"/>
        <v>Bright Solutions</v>
      </c>
      <c r="E106" s="1">
        <f t="shared" ca="1" si="13"/>
        <v>42661</v>
      </c>
      <c r="F106" s="1">
        <f t="shared" ca="1" si="14"/>
        <v>12</v>
      </c>
      <c r="G106" s="1">
        <f t="shared" ca="1" si="15"/>
        <v>5119.32</v>
      </c>
      <c r="H106" s="1">
        <f t="shared" ca="1" si="16"/>
        <v>47780.32</v>
      </c>
      <c r="I106" s="1" t="str">
        <f t="shared" ca="1" si="17"/>
        <v>CC105</v>
      </c>
    </row>
    <row r="107" spans="1:9" x14ac:dyDescent="0.3">
      <c r="A107" s="2">
        <f t="shared" ca="1" si="9"/>
        <v>45612</v>
      </c>
      <c r="B107" s="1" t="str">
        <f t="shared" ca="1" si="10"/>
        <v>HR</v>
      </c>
      <c r="C107" s="1" t="str">
        <f t="shared" ca="1" si="11"/>
        <v>Marketing Spend</v>
      </c>
      <c r="D107" s="1" t="str">
        <f t="shared" ca="1" si="12"/>
        <v>Universal Systems</v>
      </c>
      <c r="E107" s="1">
        <f t="shared" ca="1" si="13"/>
        <v>33631</v>
      </c>
      <c r="F107" s="1">
        <f t="shared" ca="1" si="14"/>
        <v>12</v>
      </c>
      <c r="G107" s="1">
        <f t="shared" ca="1" si="15"/>
        <v>4035.72</v>
      </c>
      <c r="H107" s="1">
        <f t="shared" ca="1" si="16"/>
        <v>37666.720000000001</v>
      </c>
      <c r="I107" s="1" t="str">
        <f t="shared" ca="1" si="17"/>
        <v>CC101</v>
      </c>
    </row>
    <row r="108" spans="1:9" hidden="1" x14ac:dyDescent="0.3">
      <c r="A108" s="2">
        <f t="shared" ca="1" si="9"/>
        <v>45087</v>
      </c>
      <c r="B108" s="1" t="str">
        <f t="shared" ca="1" si="10"/>
        <v>IT</v>
      </c>
      <c r="C108" s="1" t="str">
        <f t="shared" ca="1" si="11"/>
        <v>Travel</v>
      </c>
      <c r="D108" s="1" t="str">
        <f t="shared" ca="1" si="12"/>
        <v>Alpha Logistics</v>
      </c>
      <c r="E108" s="1">
        <f t="shared" ca="1" si="13"/>
        <v>34661</v>
      </c>
      <c r="F108" s="1">
        <f t="shared" ca="1" si="14"/>
        <v>12</v>
      </c>
      <c r="G108" s="1">
        <f t="shared" ca="1" si="15"/>
        <v>4159.32</v>
      </c>
      <c r="H108" s="1">
        <f t="shared" ca="1" si="16"/>
        <v>38820.32</v>
      </c>
      <c r="I108" s="1" t="str">
        <f t="shared" ca="1" si="17"/>
        <v>CC104</v>
      </c>
    </row>
    <row r="109" spans="1:9" hidden="1" x14ac:dyDescent="0.3">
      <c r="A109" s="2">
        <f t="shared" ca="1" si="9"/>
        <v>45374</v>
      </c>
      <c r="B109" s="1" t="str">
        <f t="shared" ca="1" si="10"/>
        <v>Procurement</v>
      </c>
      <c r="C109" s="1" t="str">
        <f t="shared" ca="1" si="11"/>
        <v>Software</v>
      </c>
      <c r="D109" s="1" t="str">
        <f t="shared" ca="1" si="12"/>
        <v>Skyline Marketing</v>
      </c>
      <c r="E109" s="1">
        <f t="shared" ca="1" si="13"/>
        <v>9156</v>
      </c>
      <c r="F109" s="1">
        <f t="shared" ca="1" si="14"/>
        <v>12</v>
      </c>
      <c r="G109" s="1">
        <f t="shared" ca="1" si="15"/>
        <v>1098.72</v>
      </c>
      <c r="H109" s="1">
        <f t="shared" ca="1" si="16"/>
        <v>10254.719999999999</v>
      </c>
      <c r="I109" s="1" t="str">
        <f t="shared" ca="1" si="17"/>
        <v>CC103</v>
      </c>
    </row>
    <row r="110" spans="1:9" hidden="1" x14ac:dyDescent="0.3">
      <c r="A110" s="2">
        <f t="shared" ca="1" si="9"/>
        <v>45195</v>
      </c>
      <c r="B110" s="1" t="str">
        <f t="shared" ca="1" si="10"/>
        <v>Operations</v>
      </c>
      <c r="C110" s="1" t="str">
        <f t="shared" ca="1" si="11"/>
        <v>Office Supplies</v>
      </c>
      <c r="D110" s="1" t="str">
        <f t="shared" ca="1" si="12"/>
        <v>Global Traders</v>
      </c>
      <c r="E110" s="1">
        <f t="shared" ca="1" si="13"/>
        <v>9604</v>
      </c>
      <c r="F110" s="1">
        <f t="shared" ca="1" si="14"/>
        <v>5</v>
      </c>
      <c r="G110" s="1">
        <f t="shared" ca="1" si="15"/>
        <v>480.2</v>
      </c>
      <c r="H110" s="1">
        <f t="shared" ca="1" si="16"/>
        <v>10084.200000000001</v>
      </c>
      <c r="I110" s="1" t="str">
        <f t="shared" ca="1" si="17"/>
        <v>CC104</v>
      </c>
    </row>
    <row r="111" spans="1:9" x14ac:dyDescent="0.3">
      <c r="A111" s="2">
        <f t="shared" ca="1" si="9"/>
        <v>44945</v>
      </c>
      <c r="B111" s="1" t="str">
        <f t="shared" ca="1" si="10"/>
        <v>Operations</v>
      </c>
      <c r="C111" s="1" t="str">
        <f t="shared" ca="1" si="11"/>
        <v>Travel</v>
      </c>
      <c r="D111" s="1" t="str">
        <f t="shared" ca="1" si="12"/>
        <v>Urban Office Mart</v>
      </c>
      <c r="E111" s="1">
        <f t="shared" ca="1" si="13"/>
        <v>5350</v>
      </c>
      <c r="F111" s="1">
        <f t="shared" ca="1" si="14"/>
        <v>12</v>
      </c>
      <c r="G111" s="1">
        <f t="shared" ca="1" si="15"/>
        <v>642</v>
      </c>
      <c r="H111" s="1">
        <f t="shared" ca="1" si="16"/>
        <v>5992</v>
      </c>
      <c r="I111" s="1" t="str">
        <f t="shared" ca="1" si="17"/>
        <v>CC103</v>
      </c>
    </row>
    <row r="112" spans="1:9" hidden="1" x14ac:dyDescent="0.3">
      <c r="A112" s="2">
        <f t="shared" ca="1" si="9"/>
        <v>45653</v>
      </c>
      <c r="B112" s="1" t="str">
        <f t="shared" ca="1" si="10"/>
        <v>Sales</v>
      </c>
      <c r="C112" s="1" t="str">
        <f t="shared" ca="1" si="11"/>
        <v>Office Supplies</v>
      </c>
      <c r="D112" s="1" t="str">
        <f t="shared" ca="1" si="12"/>
        <v>Urban Office Mart</v>
      </c>
      <c r="E112" s="1">
        <f t="shared" ca="1" si="13"/>
        <v>19466</v>
      </c>
      <c r="F112" s="1">
        <f t="shared" ca="1" si="14"/>
        <v>5</v>
      </c>
      <c r="G112" s="1">
        <f t="shared" ca="1" si="15"/>
        <v>973.3</v>
      </c>
      <c r="H112" s="1">
        <f t="shared" ca="1" si="16"/>
        <v>20439.3</v>
      </c>
      <c r="I112" s="1" t="str">
        <f t="shared" ca="1" si="17"/>
        <v>CC101</v>
      </c>
    </row>
    <row r="113" spans="1:9" hidden="1" x14ac:dyDescent="0.3">
      <c r="A113" s="2">
        <f t="shared" ca="1" si="9"/>
        <v>45479</v>
      </c>
      <c r="B113" s="1" t="str">
        <f t="shared" ca="1" si="10"/>
        <v>IT</v>
      </c>
      <c r="C113" s="1" t="str">
        <f t="shared" ca="1" si="11"/>
        <v>Travel</v>
      </c>
      <c r="D113" s="1" t="str">
        <f t="shared" ca="1" si="12"/>
        <v>Rapid Transport</v>
      </c>
      <c r="E113" s="1">
        <f t="shared" ca="1" si="13"/>
        <v>43126</v>
      </c>
      <c r="F113" s="1">
        <f t="shared" ca="1" si="14"/>
        <v>12</v>
      </c>
      <c r="G113" s="1">
        <f t="shared" ca="1" si="15"/>
        <v>5175.12</v>
      </c>
      <c r="H113" s="1">
        <f t="shared" ca="1" si="16"/>
        <v>48301.120000000003</v>
      </c>
      <c r="I113" s="1" t="str">
        <f t="shared" ca="1" si="17"/>
        <v>CC101</v>
      </c>
    </row>
    <row r="114" spans="1:9" x14ac:dyDescent="0.3">
      <c r="A114" s="2">
        <f t="shared" ca="1" si="9"/>
        <v>45599</v>
      </c>
      <c r="B114" s="1" t="str">
        <f t="shared" ca="1" si="10"/>
        <v>Marketing</v>
      </c>
      <c r="C114" s="1" t="str">
        <f t="shared" ca="1" si="11"/>
        <v>Software</v>
      </c>
      <c r="D114" s="1" t="str">
        <f t="shared" ca="1" si="12"/>
        <v>Alpha Logistics</v>
      </c>
      <c r="E114" s="1">
        <f t="shared" ca="1" si="13"/>
        <v>5464</v>
      </c>
      <c r="F114" s="1">
        <f t="shared" ca="1" si="14"/>
        <v>5</v>
      </c>
      <c r="G114" s="1">
        <f t="shared" ca="1" si="15"/>
        <v>273.2</v>
      </c>
      <c r="H114" s="1">
        <f t="shared" ca="1" si="16"/>
        <v>5737.2</v>
      </c>
      <c r="I114" s="1" t="str">
        <f t="shared" ca="1" si="17"/>
        <v>CC101</v>
      </c>
    </row>
    <row r="115" spans="1:9" hidden="1" x14ac:dyDescent="0.3">
      <c r="A115" s="2">
        <f t="shared" ca="1" si="9"/>
        <v>45542</v>
      </c>
      <c r="B115" s="1" t="str">
        <f t="shared" ca="1" si="10"/>
        <v>Marketing</v>
      </c>
      <c r="C115" s="1" t="str">
        <f t="shared" ca="1" si="11"/>
        <v>Software</v>
      </c>
      <c r="D115" s="1" t="str">
        <f t="shared" ca="1" si="12"/>
        <v>Infoserve Pvt Ltd</v>
      </c>
      <c r="E115" s="1">
        <f t="shared" ca="1" si="13"/>
        <v>35370</v>
      </c>
      <c r="F115" s="1">
        <f t="shared" ca="1" si="14"/>
        <v>12</v>
      </c>
      <c r="G115" s="1">
        <f t="shared" ca="1" si="15"/>
        <v>4244.3999999999996</v>
      </c>
      <c r="H115" s="1">
        <f t="shared" ca="1" si="16"/>
        <v>39614.400000000001</v>
      </c>
      <c r="I115" s="1" t="str">
        <f t="shared" ca="1" si="17"/>
        <v>CC101</v>
      </c>
    </row>
    <row r="116" spans="1:9" hidden="1" x14ac:dyDescent="0.3">
      <c r="A116" s="2">
        <f t="shared" ca="1" si="9"/>
        <v>45169</v>
      </c>
      <c r="B116" s="1" t="str">
        <f t="shared" ca="1" si="10"/>
        <v>Operations</v>
      </c>
      <c r="C116" s="1" t="str">
        <f t="shared" ca="1" si="11"/>
        <v>Utilities</v>
      </c>
      <c r="D116" s="1" t="str">
        <f t="shared" ca="1" si="12"/>
        <v>Rapid Transport</v>
      </c>
      <c r="E116" s="1">
        <f t="shared" ca="1" si="13"/>
        <v>11863</v>
      </c>
      <c r="F116" s="1">
        <f t="shared" ca="1" si="14"/>
        <v>18</v>
      </c>
      <c r="G116" s="1">
        <f t="shared" ca="1" si="15"/>
        <v>2135.34</v>
      </c>
      <c r="H116" s="1">
        <f t="shared" ca="1" si="16"/>
        <v>13998.34</v>
      </c>
      <c r="I116" s="1" t="str">
        <f t="shared" ca="1" si="17"/>
        <v>CC106</v>
      </c>
    </row>
    <row r="117" spans="1:9" hidden="1" x14ac:dyDescent="0.3">
      <c r="A117" s="2">
        <f t="shared" ca="1" si="9"/>
        <v>45287</v>
      </c>
      <c r="B117" s="1" t="str">
        <f t="shared" ca="1" si="10"/>
        <v>Admin</v>
      </c>
      <c r="C117" s="1" t="str">
        <f t="shared" ca="1" si="11"/>
        <v>Office Supplies</v>
      </c>
      <c r="D117" s="1" t="str">
        <f t="shared" ca="1" si="12"/>
        <v>Infoserve Pvt Ltd</v>
      </c>
      <c r="E117" s="1">
        <f t="shared" ca="1" si="13"/>
        <v>42395</v>
      </c>
      <c r="F117" s="1">
        <f t="shared" ca="1" si="14"/>
        <v>12</v>
      </c>
      <c r="G117" s="1">
        <f t="shared" ca="1" si="15"/>
        <v>5087.3999999999996</v>
      </c>
      <c r="H117" s="1">
        <f t="shared" ca="1" si="16"/>
        <v>47482.400000000001</v>
      </c>
      <c r="I117" s="1" t="str">
        <f t="shared" ca="1" si="17"/>
        <v>CC102</v>
      </c>
    </row>
    <row r="118" spans="1:9" hidden="1" x14ac:dyDescent="0.3">
      <c r="A118" s="2">
        <f t="shared" ca="1" si="9"/>
        <v>45512</v>
      </c>
      <c r="B118" s="1" t="str">
        <f t="shared" ca="1" si="10"/>
        <v>Marketing</v>
      </c>
      <c r="C118" s="1" t="str">
        <f t="shared" ca="1" si="11"/>
        <v>Training</v>
      </c>
      <c r="D118" s="1" t="str">
        <f t="shared" ca="1" si="12"/>
        <v>Bright Solutions</v>
      </c>
      <c r="E118" s="1">
        <f t="shared" ca="1" si="13"/>
        <v>6182</v>
      </c>
      <c r="F118" s="1">
        <f t="shared" ca="1" si="14"/>
        <v>12</v>
      </c>
      <c r="G118" s="1">
        <f t="shared" ca="1" si="15"/>
        <v>741.84</v>
      </c>
      <c r="H118" s="1">
        <f t="shared" ca="1" si="16"/>
        <v>6923.84</v>
      </c>
      <c r="I118" s="1" t="str">
        <f t="shared" ca="1" si="17"/>
        <v>CC103</v>
      </c>
    </row>
    <row r="119" spans="1:9" hidden="1" x14ac:dyDescent="0.3">
      <c r="A119" s="2">
        <f t="shared" ca="1" si="9"/>
        <v>45400</v>
      </c>
      <c r="B119" s="1" t="str">
        <f t="shared" ca="1" si="10"/>
        <v>Admin</v>
      </c>
      <c r="C119" s="1" t="str">
        <f t="shared" ca="1" si="11"/>
        <v>Miscellaneous</v>
      </c>
      <c r="D119" s="1" t="str">
        <f t="shared" ca="1" si="12"/>
        <v>Skyline Marketing</v>
      </c>
      <c r="E119" s="1">
        <f t="shared" ca="1" si="13"/>
        <v>22036</v>
      </c>
      <c r="F119" s="1">
        <f t="shared" ca="1" si="14"/>
        <v>12</v>
      </c>
      <c r="G119" s="1">
        <f t="shared" ca="1" si="15"/>
        <v>2644.32</v>
      </c>
      <c r="H119" s="1">
        <f t="shared" ca="1" si="16"/>
        <v>24680.32</v>
      </c>
      <c r="I119" s="1" t="str">
        <f t="shared" ca="1" si="17"/>
        <v>CC102</v>
      </c>
    </row>
    <row r="120" spans="1:9" hidden="1" x14ac:dyDescent="0.3">
      <c r="A120" s="2">
        <f t="shared" ca="1" si="9"/>
        <v>44957</v>
      </c>
      <c r="B120" s="1" t="str">
        <f t="shared" ca="1" si="10"/>
        <v>Finance</v>
      </c>
      <c r="C120" s="1" t="str">
        <f t="shared" ca="1" si="11"/>
        <v>Miscellaneous</v>
      </c>
      <c r="D120" s="1" t="str">
        <f t="shared" ca="1" si="12"/>
        <v>QuickFix Services</v>
      </c>
      <c r="E120" s="1">
        <f t="shared" ca="1" si="13"/>
        <v>16734</v>
      </c>
      <c r="F120" s="1">
        <f t="shared" ca="1" si="14"/>
        <v>12</v>
      </c>
      <c r="G120" s="1">
        <f t="shared" ca="1" si="15"/>
        <v>2008.08</v>
      </c>
      <c r="H120" s="1">
        <f t="shared" ca="1" si="16"/>
        <v>18742.080000000002</v>
      </c>
      <c r="I120" s="1" t="str">
        <f t="shared" ca="1" si="17"/>
        <v>CC104</v>
      </c>
    </row>
    <row r="121" spans="1:9" hidden="1" x14ac:dyDescent="0.3">
      <c r="A121" s="2">
        <f t="shared" ca="1" si="9"/>
        <v>45413</v>
      </c>
      <c r="B121" s="1" t="str">
        <f t="shared" ca="1" si="10"/>
        <v>Admin</v>
      </c>
      <c r="C121" s="1" t="str">
        <f t="shared" ca="1" si="11"/>
        <v>Office Supplies</v>
      </c>
      <c r="D121" s="1" t="str">
        <f t="shared" ca="1" si="12"/>
        <v>Skyline Marketing</v>
      </c>
      <c r="E121" s="1">
        <f t="shared" ca="1" si="13"/>
        <v>41889</v>
      </c>
      <c r="F121" s="1">
        <f t="shared" ca="1" si="14"/>
        <v>18</v>
      </c>
      <c r="G121" s="1">
        <f t="shared" ca="1" si="15"/>
        <v>7540.02</v>
      </c>
      <c r="H121" s="1">
        <f t="shared" ca="1" si="16"/>
        <v>49429.020000000004</v>
      </c>
      <c r="I121" s="1" t="str">
        <f t="shared" ca="1" si="17"/>
        <v>CC102</v>
      </c>
    </row>
    <row r="122" spans="1:9" x14ac:dyDescent="0.3">
      <c r="A122" s="2">
        <f t="shared" ca="1" si="9"/>
        <v>45622</v>
      </c>
      <c r="B122" s="1" t="str">
        <f t="shared" ca="1" si="10"/>
        <v>Operations</v>
      </c>
      <c r="C122" s="1" t="str">
        <f t="shared" ca="1" si="11"/>
        <v>Miscellaneous</v>
      </c>
      <c r="D122" s="1" t="str">
        <f t="shared" ca="1" si="12"/>
        <v>Rapid Transport</v>
      </c>
      <c r="E122" s="1">
        <f t="shared" ca="1" si="13"/>
        <v>4033</v>
      </c>
      <c r="F122" s="1">
        <f t="shared" ca="1" si="14"/>
        <v>18</v>
      </c>
      <c r="G122" s="1">
        <f t="shared" ca="1" si="15"/>
        <v>725.94</v>
      </c>
      <c r="H122" s="1">
        <f t="shared" ca="1" si="16"/>
        <v>4758.9400000000005</v>
      </c>
      <c r="I122" s="1" t="str">
        <f t="shared" ca="1" si="17"/>
        <v>CC106</v>
      </c>
    </row>
    <row r="123" spans="1:9" x14ac:dyDescent="0.3">
      <c r="A123" s="2">
        <f t="shared" ca="1" si="9"/>
        <v>45111</v>
      </c>
      <c r="B123" s="1" t="str">
        <f t="shared" ca="1" si="10"/>
        <v>Sales</v>
      </c>
      <c r="C123" s="1" t="str">
        <f t="shared" ca="1" si="11"/>
        <v>Training</v>
      </c>
      <c r="D123" s="1" t="str">
        <f t="shared" ca="1" si="12"/>
        <v>Alpha Logistics</v>
      </c>
      <c r="E123" s="1">
        <f t="shared" ca="1" si="13"/>
        <v>41441</v>
      </c>
      <c r="F123" s="1">
        <f t="shared" ca="1" si="14"/>
        <v>18</v>
      </c>
      <c r="G123" s="1">
        <f t="shared" ca="1" si="15"/>
        <v>7459.38</v>
      </c>
      <c r="H123" s="1">
        <f t="shared" ca="1" si="16"/>
        <v>48900.38</v>
      </c>
      <c r="I123" s="1" t="str">
        <f t="shared" ca="1" si="17"/>
        <v>CC105</v>
      </c>
    </row>
    <row r="124" spans="1:9" hidden="1" x14ac:dyDescent="0.3">
      <c r="A124" s="2">
        <f t="shared" ca="1" si="9"/>
        <v>45523</v>
      </c>
      <c r="B124" s="1" t="str">
        <f t="shared" ca="1" si="10"/>
        <v>Procurement</v>
      </c>
      <c r="C124" s="1" t="str">
        <f t="shared" ca="1" si="11"/>
        <v>Miscellaneous</v>
      </c>
      <c r="D124" s="1" t="str">
        <f t="shared" ca="1" si="12"/>
        <v>Universal Systems</v>
      </c>
      <c r="E124" s="1">
        <f t="shared" ca="1" si="13"/>
        <v>22460</v>
      </c>
      <c r="F124" s="1">
        <f t="shared" ca="1" si="14"/>
        <v>18</v>
      </c>
      <c r="G124" s="1">
        <f t="shared" ca="1" si="15"/>
        <v>4042.8</v>
      </c>
      <c r="H124" s="1">
        <f t="shared" ca="1" si="16"/>
        <v>26502.799999999999</v>
      </c>
      <c r="I124" s="1" t="str">
        <f t="shared" ca="1" si="17"/>
        <v>CC106</v>
      </c>
    </row>
    <row r="125" spans="1:9" x14ac:dyDescent="0.3">
      <c r="A125" s="2">
        <f t="shared" ca="1" si="9"/>
        <v>44944</v>
      </c>
      <c r="B125" s="1" t="str">
        <f t="shared" ca="1" si="10"/>
        <v>Procurement</v>
      </c>
      <c r="C125" s="1" t="str">
        <f t="shared" ca="1" si="11"/>
        <v>Software</v>
      </c>
      <c r="D125" s="1" t="str">
        <f t="shared" ca="1" si="12"/>
        <v>QuickFix Services</v>
      </c>
      <c r="E125" s="1">
        <f t="shared" ca="1" si="13"/>
        <v>17923</v>
      </c>
      <c r="F125" s="1">
        <f t="shared" ca="1" si="14"/>
        <v>5</v>
      </c>
      <c r="G125" s="1">
        <f t="shared" ca="1" si="15"/>
        <v>896.15</v>
      </c>
      <c r="H125" s="1">
        <f t="shared" ca="1" si="16"/>
        <v>18819.150000000001</v>
      </c>
      <c r="I125" s="1" t="str">
        <f t="shared" ca="1" si="17"/>
        <v>CC104</v>
      </c>
    </row>
    <row r="126" spans="1:9" hidden="1" x14ac:dyDescent="0.3">
      <c r="A126" s="2">
        <f t="shared" ca="1" si="9"/>
        <v>45533</v>
      </c>
      <c r="B126" s="1" t="str">
        <f t="shared" ca="1" si="10"/>
        <v>Sales</v>
      </c>
      <c r="C126" s="1" t="str">
        <f t="shared" ca="1" si="11"/>
        <v>Marketing Spend</v>
      </c>
      <c r="D126" s="1" t="str">
        <f t="shared" ca="1" si="12"/>
        <v>QuickFix Services</v>
      </c>
      <c r="E126" s="1">
        <f t="shared" ca="1" si="13"/>
        <v>32534</v>
      </c>
      <c r="F126" s="1">
        <f t="shared" ca="1" si="14"/>
        <v>12</v>
      </c>
      <c r="G126" s="1">
        <f t="shared" ca="1" si="15"/>
        <v>3904.08</v>
      </c>
      <c r="H126" s="1">
        <f t="shared" ca="1" si="16"/>
        <v>36438.080000000002</v>
      </c>
      <c r="I126" s="1" t="str">
        <f t="shared" ca="1" si="17"/>
        <v>CC102</v>
      </c>
    </row>
    <row r="127" spans="1:9" hidden="1" x14ac:dyDescent="0.3">
      <c r="A127" s="2">
        <f t="shared" ca="1" si="9"/>
        <v>45265</v>
      </c>
      <c r="B127" s="1" t="str">
        <f t="shared" ca="1" si="10"/>
        <v>Admin</v>
      </c>
      <c r="C127" s="1" t="str">
        <f t="shared" ca="1" si="11"/>
        <v>Marketing Spend</v>
      </c>
      <c r="D127" s="1" t="str">
        <f t="shared" ca="1" si="12"/>
        <v>Rapid Transport</v>
      </c>
      <c r="E127" s="1">
        <f t="shared" ca="1" si="13"/>
        <v>21182</v>
      </c>
      <c r="F127" s="1">
        <f t="shared" ca="1" si="14"/>
        <v>12</v>
      </c>
      <c r="G127" s="1">
        <f t="shared" ca="1" si="15"/>
        <v>2541.84</v>
      </c>
      <c r="H127" s="1">
        <f t="shared" ca="1" si="16"/>
        <v>23723.84</v>
      </c>
      <c r="I127" s="1" t="str">
        <f t="shared" ca="1" si="17"/>
        <v>CC105</v>
      </c>
    </row>
    <row r="128" spans="1:9" x14ac:dyDescent="0.3">
      <c r="A128" s="2">
        <f t="shared" ca="1" si="9"/>
        <v>45017</v>
      </c>
      <c r="B128" s="1" t="str">
        <f t="shared" ca="1" si="10"/>
        <v>Operations</v>
      </c>
      <c r="C128" s="1" t="str">
        <f t="shared" ca="1" si="11"/>
        <v>Marketing Spend</v>
      </c>
      <c r="D128" s="1" t="str">
        <f t="shared" ca="1" si="12"/>
        <v>Global Traders</v>
      </c>
      <c r="E128" s="1">
        <f t="shared" ca="1" si="13"/>
        <v>831</v>
      </c>
      <c r="F128" s="1">
        <f t="shared" ca="1" si="14"/>
        <v>5</v>
      </c>
      <c r="G128" s="1">
        <f t="shared" ca="1" si="15"/>
        <v>41.55</v>
      </c>
      <c r="H128" s="1">
        <f t="shared" ca="1" si="16"/>
        <v>872.55</v>
      </c>
      <c r="I128" s="1" t="str">
        <f t="shared" ca="1" si="17"/>
        <v>CC103</v>
      </c>
    </row>
    <row r="129" spans="1:9" hidden="1" x14ac:dyDescent="0.3">
      <c r="A129" s="2">
        <f t="shared" ca="1" si="9"/>
        <v>45657</v>
      </c>
      <c r="B129" s="1" t="str">
        <f t="shared" ca="1" si="10"/>
        <v>Marketing</v>
      </c>
      <c r="C129" s="1" t="str">
        <f t="shared" ca="1" si="11"/>
        <v>Marketing Spend</v>
      </c>
      <c r="D129" s="1" t="str">
        <f t="shared" ca="1" si="12"/>
        <v>Skyline Marketing</v>
      </c>
      <c r="E129" s="1">
        <f t="shared" ca="1" si="13"/>
        <v>4191</v>
      </c>
      <c r="F129" s="1">
        <f t="shared" ca="1" si="14"/>
        <v>18</v>
      </c>
      <c r="G129" s="1">
        <f t="shared" ca="1" si="15"/>
        <v>754.38</v>
      </c>
      <c r="H129" s="1">
        <f t="shared" ca="1" si="16"/>
        <v>4945.38</v>
      </c>
      <c r="I129" s="1" t="str">
        <f t="shared" ca="1" si="17"/>
        <v>CC102</v>
      </c>
    </row>
    <row r="130" spans="1:9" hidden="1" x14ac:dyDescent="0.3">
      <c r="A130" s="2">
        <f t="shared" ca="1" si="9"/>
        <v>45304</v>
      </c>
      <c r="B130" s="1" t="str">
        <f t="shared" ca="1" si="10"/>
        <v>Operations</v>
      </c>
      <c r="C130" s="1" t="str">
        <f t="shared" ca="1" si="11"/>
        <v>Software</v>
      </c>
      <c r="D130" s="1" t="str">
        <f t="shared" ca="1" si="12"/>
        <v>Urban Office Mart</v>
      </c>
      <c r="E130" s="1">
        <f t="shared" ca="1" si="13"/>
        <v>26691</v>
      </c>
      <c r="F130" s="1">
        <f t="shared" ca="1" si="14"/>
        <v>12</v>
      </c>
      <c r="G130" s="1">
        <f t="shared" ca="1" si="15"/>
        <v>3202.92</v>
      </c>
      <c r="H130" s="1">
        <f t="shared" ca="1" si="16"/>
        <v>29893.919999999998</v>
      </c>
      <c r="I130" s="1" t="str">
        <f t="shared" ca="1" si="17"/>
        <v>CC103</v>
      </c>
    </row>
    <row r="131" spans="1:9" hidden="1" x14ac:dyDescent="0.3">
      <c r="A131" s="2">
        <f t="shared" ca="1" si="9"/>
        <v>45647</v>
      </c>
      <c r="B131" s="1" t="str">
        <f t="shared" ca="1" si="10"/>
        <v>Marketing</v>
      </c>
      <c r="C131" s="1" t="str">
        <f t="shared" ca="1" si="11"/>
        <v>Travel</v>
      </c>
      <c r="D131" s="1" t="str">
        <f t="shared" ca="1" si="12"/>
        <v>Alpha Logistics</v>
      </c>
      <c r="E131" s="1">
        <f t="shared" ca="1" si="13"/>
        <v>18482</v>
      </c>
      <c r="F131" s="1">
        <f t="shared" ca="1" si="14"/>
        <v>5</v>
      </c>
      <c r="G131" s="1">
        <f t="shared" ca="1" si="15"/>
        <v>924.1</v>
      </c>
      <c r="H131" s="1">
        <f t="shared" ca="1" si="16"/>
        <v>19406.099999999999</v>
      </c>
      <c r="I131" s="1" t="str">
        <f t="shared" ca="1" si="17"/>
        <v>CC106</v>
      </c>
    </row>
    <row r="132" spans="1:9" x14ac:dyDescent="0.3">
      <c r="A132" s="2">
        <f t="shared" ref="A132:A195" ca="1" si="18">RANDBETWEEN(DATE(2023,1,1), DATE(2024,12,31))</f>
        <v>45641</v>
      </c>
      <c r="B132" s="1" t="str">
        <f t="shared" ref="B132:B195" ca="1" si="19">CHOOSE(RANDBETWEEN(1,8),"HR","Finance","Operations","IT","Marketing","Sales","Procurement","Admin")</f>
        <v>Operations</v>
      </c>
      <c r="C132" s="1" t="str">
        <f t="shared" ref="C132:C195" ca="1" si="20">CHOOSE(RANDBETWEEN(1,10),"Travel","Office Supplies","Salaries","Maintenance","Utilities","Software","Training","Marketing Spend","Transportation","Miscellaneous")</f>
        <v>Transportation</v>
      </c>
      <c r="D132" s="1" t="str">
        <f t="shared" ref="D132:D195" ca="1" si="21">CHOOSE(RANDBETWEEN(1,10),
"Infoserve Pvt Ltd",
"Global Traders",
"Alpha Logistics",
"Bright Solutions",
"Star Technologies",
"Urban Office Mart",
"QuickFix Services",
"Skyline Marketing",
"Rapid Transport",
"Universal Systems")</f>
        <v>Infoserve Pvt Ltd</v>
      </c>
      <c r="E132" s="1">
        <f t="shared" ref="E132:E195" ca="1" si="22">RANDBETWEEN(500,50000)</f>
        <v>7494</v>
      </c>
      <c r="F132" s="1">
        <f t="shared" ref="F132:F195" ca="1" si="23">CHOOSE(RANDBETWEEN(1,3),5,12,18)</f>
        <v>12</v>
      </c>
      <c r="G132" s="1">
        <f t="shared" ref="G132:G195" ca="1" si="24">E132*F132/100</f>
        <v>899.28</v>
      </c>
      <c r="H132" s="1">
        <f t="shared" ref="H132:H195" ca="1" si="25">E132+G132</f>
        <v>8393.2800000000007</v>
      </c>
      <c r="I132" s="1" t="str">
        <f t="shared" ref="I132:I195" ca="1" si="26">CHOOSE(RANDBETWEEN(1,6),"CC101","CC102","CC103","CC104","CC105","CC106")</f>
        <v>CC103</v>
      </c>
    </row>
    <row r="133" spans="1:9" x14ac:dyDescent="0.3">
      <c r="A133" s="2">
        <f t="shared" ca="1" si="18"/>
        <v>45467</v>
      </c>
      <c r="B133" s="1" t="str">
        <f t="shared" ca="1" si="19"/>
        <v>HR</v>
      </c>
      <c r="C133" s="1" t="str">
        <f t="shared" ca="1" si="20"/>
        <v>Software</v>
      </c>
      <c r="D133" s="1" t="str">
        <f t="shared" ca="1" si="21"/>
        <v>Global Traders</v>
      </c>
      <c r="E133" s="1">
        <f t="shared" ca="1" si="22"/>
        <v>44920</v>
      </c>
      <c r="F133" s="1">
        <f t="shared" ca="1" si="23"/>
        <v>12</v>
      </c>
      <c r="G133" s="1">
        <f t="shared" ca="1" si="24"/>
        <v>5390.4</v>
      </c>
      <c r="H133" s="1">
        <f t="shared" ca="1" si="25"/>
        <v>50310.400000000001</v>
      </c>
      <c r="I133" s="1" t="str">
        <f t="shared" ca="1" si="26"/>
        <v>CC104</v>
      </c>
    </row>
    <row r="134" spans="1:9" hidden="1" x14ac:dyDescent="0.3">
      <c r="A134" s="2">
        <f t="shared" ca="1" si="18"/>
        <v>45511</v>
      </c>
      <c r="B134" s="1" t="str">
        <f t="shared" ca="1" si="19"/>
        <v>IT</v>
      </c>
      <c r="C134" s="1" t="str">
        <f t="shared" ca="1" si="20"/>
        <v>Travel</v>
      </c>
      <c r="D134" s="1" t="str">
        <f t="shared" ca="1" si="21"/>
        <v>Infoserve Pvt Ltd</v>
      </c>
      <c r="E134" s="1">
        <f t="shared" ca="1" si="22"/>
        <v>46222</v>
      </c>
      <c r="F134" s="1">
        <f t="shared" ca="1" si="23"/>
        <v>12</v>
      </c>
      <c r="G134" s="1">
        <f t="shared" ca="1" si="24"/>
        <v>5546.64</v>
      </c>
      <c r="H134" s="1">
        <f t="shared" ca="1" si="25"/>
        <v>51768.639999999999</v>
      </c>
      <c r="I134" s="1" t="str">
        <f t="shared" ca="1" si="26"/>
        <v>CC102</v>
      </c>
    </row>
    <row r="135" spans="1:9" x14ac:dyDescent="0.3">
      <c r="A135" s="2">
        <f t="shared" ca="1" si="18"/>
        <v>45271</v>
      </c>
      <c r="B135" s="1" t="str">
        <f t="shared" ca="1" si="19"/>
        <v>Admin</v>
      </c>
      <c r="C135" s="1" t="str">
        <f t="shared" ca="1" si="20"/>
        <v>Transportation</v>
      </c>
      <c r="D135" s="1" t="str">
        <f t="shared" ca="1" si="21"/>
        <v>Infoserve Pvt Ltd</v>
      </c>
      <c r="E135" s="1">
        <f t="shared" ca="1" si="22"/>
        <v>4878</v>
      </c>
      <c r="F135" s="1">
        <f t="shared" ca="1" si="23"/>
        <v>5</v>
      </c>
      <c r="G135" s="1">
        <f t="shared" ca="1" si="24"/>
        <v>243.9</v>
      </c>
      <c r="H135" s="1">
        <f t="shared" ca="1" si="25"/>
        <v>5121.8999999999996</v>
      </c>
      <c r="I135" s="1" t="str">
        <f t="shared" ca="1" si="26"/>
        <v>CC105</v>
      </c>
    </row>
    <row r="136" spans="1:9" x14ac:dyDescent="0.3">
      <c r="A136" s="2">
        <f t="shared" ca="1" si="18"/>
        <v>45136</v>
      </c>
      <c r="B136" s="1" t="str">
        <f t="shared" ca="1" si="19"/>
        <v>Procurement</v>
      </c>
      <c r="C136" s="1" t="str">
        <f t="shared" ca="1" si="20"/>
        <v>Office Supplies</v>
      </c>
      <c r="D136" s="1" t="str">
        <f t="shared" ca="1" si="21"/>
        <v>Global Traders</v>
      </c>
      <c r="E136" s="1">
        <f t="shared" ca="1" si="22"/>
        <v>43785</v>
      </c>
      <c r="F136" s="1">
        <f t="shared" ca="1" si="23"/>
        <v>5</v>
      </c>
      <c r="G136" s="1">
        <f t="shared" ca="1" si="24"/>
        <v>2189.25</v>
      </c>
      <c r="H136" s="1">
        <f t="shared" ca="1" si="25"/>
        <v>45974.25</v>
      </c>
      <c r="I136" s="1" t="str">
        <f t="shared" ca="1" si="26"/>
        <v>CC106</v>
      </c>
    </row>
    <row r="137" spans="1:9" hidden="1" x14ac:dyDescent="0.3">
      <c r="A137" s="2">
        <f t="shared" ca="1" si="18"/>
        <v>45171</v>
      </c>
      <c r="B137" s="1" t="str">
        <f t="shared" ca="1" si="19"/>
        <v>HR</v>
      </c>
      <c r="C137" s="1" t="str">
        <f t="shared" ca="1" si="20"/>
        <v>Software</v>
      </c>
      <c r="D137" s="1" t="str">
        <f t="shared" ca="1" si="21"/>
        <v>Alpha Logistics</v>
      </c>
      <c r="E137" s="1">
        <f t="shared" ca="1" si="22"/>
        <v>2272</v>
      </c>
      <c r="F137" s="1">
        <f t="shared" ca="1" si="23"/>
        <v>12</v>
      </c>
      <c r="G137" s="1">
        <f t="shared" ca="1" si="24"/>
        <v>272.64</v>
      </c>
      <c r="H137" s="1">
        <f t="shared" ca="1" si="25"/>
        <v>2544.64</v>
      </c>
      <c r="I137" s="1" t="str">
        <f t="shared" ca="1" si="26"/>
        <v>CC102</v>
      </c>
    </row>
    <row r="138" spans="1:9" hidden="1" x14ac:dyDescent="0.3">
      <c r="A138" s="2">
        <f t="shared" ca="1" si="18"/>
        <v>45479</v>
      </c>
      <c r="B138" s="1" t="str">
        <f t="shared" ca="1" si="19"/>
        <v>HR</v>
      </c>
      <c r="C138" s="1" t="str">
        <f t="shared" ca="1" si="20"/>
        <v>Training</v>
      </c>
      <c r="D138" s="1" t="str">
        <f t="shared" ca="1" si="21"/>
        <v>Global Traders</v>
      </c>
      <c r="E138" s="1">
        <f t="shared" ca="1" si="22"/>
        <v>13013</v>
      </c>
      <c r="F138" s="1">
        <f t="shared" ca="1" si="23"/>
        <v>5</v>
      </c>
      <c r="G138" s="1">
        <f t="shared" ca="1" si="24"/>
        <v>650.65</v>
      </c>
      <c r="H138" s="1">
        <f t="shared" ca="1" si="25"/>
        <v>13663.65</v>
      </c>
      <c r="I138" s="1" t="str">
        <f t="shared" ca="1" si="26"/>
        <v>CC102</v>
      </c>
    </row>
    <row r="139" spans="1:9" hidden="1" x14ac:dyDescent="0.3">
      <c r="A139" s="2">
        <f t="shared" ca="1" si="18"/>
        <v>45503</v>
      </c>
      <c r="B139" s="1" t="str">
        <f t="shared" ca="1" si="19"/>
        <v>Finance</v>
      </c>
      <c r="C139" s="1" t="str">
        <f t="shared" ca="1" si="20"/>
        <v>Transportation</v>
      </c>
      <c r="D139" s="1" t="str">
        <f t="shared" ca="1" si="21"/>
        <v>QuickFix Services</v>
      </c>
      <c r="E139" s="1">
        <f t="shared" ca="1" si="22"/>
        <v>45634</v>
      </c>
      <c r="F139" s="1">
        <f t="shared" ca="1" si="23"/>
        <v>18</v>
      </c>
      <c r="G139" s="1">
        <f t="shared" ca="1" si="24"/>
        <v>8214.1200000000008</v>
      </c>
      <c r="H139" s="1">
        <f t="shared" ca="1" si="25"/>
        <v>53848.12</v>
      </c>
      <c r="I139" s="1" t="str">
        <f t="shared" ca="1" si="26"/>
        <v>CC102</v>
      </c>
    </row>
    <row r="140" spans="1:9" x14ac:dyDescent="0.3">
      <c r="A140" s="2">
        <f t="shared" ca="1" si="18"/>
        <v>45189</v>
      </c>
      <c r="B140" s="1" t="str">
        <f t="shared" ca="1" si="19"/>
        <v>Admin</v>
      </c>
      <c r="C140" s="1" t="str">
        <f t="shared" ca="1" si="20"/>
        <v>Travel</v>
      </c>
      <c r="D140" s="1" t="str">
        <f t="shared" ca="1" si="21"/>
        <v>Skyline Marketing</v>
      </c>
      <c r="E140" s="1">
        <f t="shared" ca="1" si="22"/>
        <v>36763</v>
      </c>
      <c r="F140" s="1">
        <f t="shared" ca="1" si="23"/>
        <v>5</v>
      </c>
      <c r="G140" s="1">
        <f t="shared" ca="1" si="24"/>
        <v>1838.15</v>
      </c>
      <c r="H140" s="1">
        <f t="shared" ca="1" si="25"/>
        <v>38601.15</v>
      </c>
      <c r="I140" s="1" t="str">
        <f t="shared" ca="1" si="26"/>
        <v>CC106</v>
      </c>
    </row>
    <row r="141" spans="1:9" x14ac:dyDescent="0.3">
      <c r="A141" s="2">
        <f t="shared" ca="1" si="18"/>
        <v>45161</v>
      </c>
      <c r="B141" s="1" t="str">
        <f t="shared" ca="1" si="19"/>
        <v>Operations</v>
      </c>
      <c r="C141" s="1" t="str">
        <f t="shared" ca="1" si="20"/>
        <v>Miscellaneous</v>
      </c>
      <c r="D141" s="1" t="str">
        <f t="shared" ca="1" si="21"/>
        <v>Skyline Marketing</v>
      </c>
      <c r="E141" s="1">
        <f t="shared" ca="1" si="22"/>
        <v>1219</v>
      </c>
      <c r="F141" s="1">
        <f t="shared" ca="1" si="23"/>
        <v>18</v>
      </c>
      <c r="G141" s="1">
        <f t="shared" ca="1" si="24"/>
        <v>219.42</v>
      </c>
      <c r="H141" s="1">
        <f t="shared" ca="1" si="25"/>
        <v>1438.42</v>
      </c>
      <c r="I141" s="1" t="str">
        <f t="shared" ca="1" si="26"/>
        <v>CC106</v>
      </c>
    </row>
    <row r="142" spans="1:9" x14ac:dyDescent="0.3">
      <c r="A142" s="2">
        <f t="shared" ca="1" si="18"/>
        <v>45619</v>
      </c>
      <c r="B142" s="1" t="str">
        <f t="shared" ca="1" si="19"/>
        <v>Operations</v>
      </c>
      <c r="C142" s="1" t="str">
        <f t="shared" ca="1" si="20"/>
        <v>Software</v>
      </c>
      <c r="D142" s="1" t="str">
        <f t="shared" ca="1" si="21"/>
        <v>QuickFix Services</v>
      </c>
      <c r="E142" s="1">
        <f t="shared" ca="1" si="22"/>
        <v>16058</v>
      </c>
      <c r="F142" s="1">
        <f t="shared" ca="1" si="23"/>
        <v>12</v>
      </c>
      <c r="G142" s="1">
        <f t="shared" ca="1" si="24"/>
        <v>1926.96</v>
      </c>
      <c r="H142" s="1">
        <f t="shared" ca="1" si="25"/>
        <v>17984.96</v>
      </c>
      <c r="I142" s="1" t="str">
        <f t="shared" ca="1" si="26"/>
        <v>CC104</v>
      </c>
    </row>
    <row r="143" spans="1:9" x14ac:dyDescent="0.3">
      <c r="A143" s="2">
        <f t="shared" ca="1" si="18"/>
        <v>44928</v>
      </c>
      <c r="B143" s="1" t="str">
        <f t="shared" ca="1" si="19"/>
        <v>IT</v>
      </c>
      <c r="C143" s="1" t="str">
        <f t="shared" ca="1" si="20"/>
        <v>Salaries</v>
      </c>
      <c r="D143" s="1" t="str">
        <f t="shared" ca="1" si="21"/>
        <v>Universal Systems</v>
      </c>
      <c r="E143" s="1">
        <f t="shared" ca="1" si="22"/>
        <v>45134</v>
      </c>
      <c r="F143" s="1">
        <f t="shared" ca="1" si="23"/>
        <v>12</v>
      </c>
      <c r="G143" s="1">
        <f t="shared" ca="1" si="24"/>
        <v>5416.08</v>
      </c>
      <c r="H143" s="1">
        <f t="shared" ca="1" si="25"/>
        <v>50550.080000000002</v>
      </c>
      <c r="I143" s="1" t="str">
        <f t="shared" ca="1" si="26"/>
        <v>CC103</v>
      </c>
    </row>
    <row r="144" spans="1:9" x14ac:dyDescent="0.3">
      <c r="A144" s="2">
        <f t="shared" ca="1" si="18"/>
        <v>45177</v>
      </c>
      <c r="B144" s="1" t="str">
        <f t="shared" ca="1" si="19"/>
        <v>Procurement</v>
      </c>
      <c r="C144" s="1" t="str">
        <f t="shared" ca="1" si="20"/>
        <v>Travel</v>
      </c>
      <c r="D144" s="1" t="str">
        <f t="shared" ca="1" si="21"/>
        <v>Skyline Marketing</v>
      </c>
      <c r="E144" s="1">
        <f t="shared" ca="1" si="22"/>
        <v>33727</v>
      </c>
      <c r="F144" s="1">
        <f t="shared" ca="1" si="23"/>
        <v>12</v>
      </c>
      <c r="G144" s="1">
        <f t="shared" ca="1" si="24"/>
        <v>4047.24</v>
      </c>
      <c r="H144" s="1">
        <f t="shared" ca="1" si="25"/>
        <v>37774.239999999998</v>
      </c>
      <c r="I144" s="1" t="str">
        <f t="shared" ca="1" si="26"/>
        <v>CC101</v>
      </c>
    </row>
    <row r="145" spans="1:9" hidden="1" x14ac:dyDescent="0.3">
      <c r="A145" s="2">
        <f t="shared" ca="1" si="18"/>
        <v>44944</v>
      </c>
      <c r="B145" s="1" t="str">
        <f t="shared" ca="1" si="19"/>
        <v>IT</v>
      </c>
      <c r="C145" s="1" t="str">
        <f t="shared" ca="1" si="20"/>
        <v>Utilities</v>
      </c>
      <c r="D145" s="1" t="str">
        <f t="shared" ca="1" si="21"/>
        <v>Infoserve Pvt Ltd</v>
      </c>
      <c r="E145" s="1">
        <f t="shared" ca="1" si="22"/>
        <v>20362</v>
      </c>
      <c r="F145" s="1">
        <f t="shared" ca="1" si="23"/>
        <v>12</v>
      </c>
      <c r="G145" s="1">
        <f t="shared" ca="1" si="24"/>
        <v>2443.44</v>
      </c>
      <c r="H145" s="1">
        <f t="shared" ca="1" si="25"/>
        <v>22805.439999999999</v>
      </c>
      <c r="I145" s="1" t="str">
        <f t="shared" ca="1" si="26"/>
        <v>CC103</v>
      </c>
    </row>
    <row r="146" spans="1:9" hidden="1" x14ac:dyDescent="0.3">
      <c r="A146" s="2">
        <f t="shared" ca="1" si="18"/>
        <v>45042</v>
      </c>
      <c r="B146" s="1" t="str">
        <f t="shared" ca="1" si="19"/>
        <v>Operations</v>
      </c>
      <c r="C146" s="1" t="str">
        <f t="shared" ca="1" si="20"/>
        <v>Maintenance</v>
      </c>
      <c r="D146" s="1" t="str">
        <f t="shared" ca="1" si="21"/>
        <v>Skyline Marketing</v>
      </c>
      <c r="E146" s="1">
        <f t="shared" ca="1" si="22"/>
        <v>33665</v>
      </c>
      <c r="F146" s="1">
        <f t="shared" ca="1" si="23"/>
        <v>5</v>
      </c>
      <c r="G146" s="1">
        <f t="shared" ca="1" si="24"/>
        <v>1683.25</v>
      </c>
      <c r="H146" s="1">
        <f t="shared" ca="1" si="25"/>
        <v>35348.25</v>
      </c>
      <c r="I146" s="1" t="str">
        <f t="shared" ca="1" si="26"/>
        <v>CC103</v>
      </c>
    </row>
    <row r="147" spans="1:9" x14ac:dyDescent="0.3">
      <c r="A147" s="2">
        <f t="shared" ca="1" si="18"/>
        <v>45587</v>
      </c>
      <c r="B147" s="1" t="str">
        <f t="shared" ca="1" si="19"/>
        <v>Procurement</v>
      </c>
      <c r="C147" s="1" t="str">
        <f t="shared" ca="1" si="20"/>
        <v>Salaries</v>
      </c>
      <c r="D147" s="1" t="str">
        <f t="shared" ca="1" si="21"/>
        <v>Star Technologies</v>
      </c>
      <c r="E147" s="1">
        <f t="shared" ca="1" si="22"/>
        <v>3459</v>
      </c>
      <c r="F147" s="1">
        <f t="shared" ca="1" si="23"/>
        <v>18</v>
      </c>
      <c r="G147" s="1">
        <f t="shared" ca="1" si="24"/>
        <v>622.62</v>
      </c>
      <c r="H147" s="1">
        <f t="shared" ca="1" si="25"/>
        <v>4081.62</v>
      </c>
      <c r="I147" s="1" t="str">
        <f t="shared" ca="1" si="26"/>
        <v>CC101</v>
      </c>
    </row>
    <row r="148" spans="1:9" hidden="1" x14ac:dyDescent="0.3">
      <c r="A148" s="2">
        <f t="shared" ca="1" si="18"/>
        <v>45304</v>
      </c>
      <c r="B148" s="1" t="str">
        <f t="shared" ca="1" si="19"/>
        <v>Finance</v>
      </c>
      <c r="C148" s="1" t="str">
        <f t="shared" ca="1" si="20"/>
        <v>Transportation</v>
      </c>
      <c r="D148" s="1" t="str">
        <f t="shared" ca="1" si="21"/>
        <v>Global Traders</v>
      </c>
      <c r="E148" s="1">
        <f t="shared" ca="1" si="22"/>
        <v>30182</v>
      </c>
      <c r="F148" s="1">
        <f t="shared" ca="1" si="23"/>
        <v>12</v>
      </c>
      <c r="G148" s="1">
        <f t="shared" ca="1" si="24"/>
        <v>3621.84</v>
      </c>
      <c r="H148" s="1">
        <f t="shared" ca="1" si="25"/>
        <v>33803.839999999997</v>
      </c>
      <c r="I148" s="1" t="str">
        <f t="shared" ca="1" si="26"/>
        <v>CC104</v>
      </c>
    </row>
    <row r="149" spans="1:9" x14ac:dyDescent="0.3">
      <c r="A149" s="2">
        <f t="shared" ca="1" si="18"/>
        <v>45295</v>
      </c>
      <c r="B149" s="1" t="str">
        <f t="shared" ca="1" si="19"/>
        <v>Finance</v>
      </c>
      <c r="C149" s="1" t="str">
        <f t="shared" ca="1" si="20"/>
        <v>Training</v>
      </c>
      <c r="D149" s="1" t="str">
        <f t="shared" ca="1" si="21"/>
        <v>QuickFix Services</v>
      </c>
      <c r="E149" s="1">
        <f t="shared" ca="1" si="22"/>
        <v>23775</v>
      </c>
      <c r="F149" s="1">
        <f t="shared" ca="1" si="23"/>
        <v>5</v>
      </c>
      <c r="G149" s="1">
        <f t="shared" ca="1" si="24"/>
        <v>1188.75</v>
      </c>
      <c r="H149" s="1">
        <f t="shared" ca="1" si="25"/>
        <v>24963.75</v>
      </c>
      <c r="I149" s="1" t="str">
        <f t="shared" ca="1" si="26"/>
        <v>CC104</v>
      </c>
    </row>
    <row r="150" spans="1:9" hidden="1" x14ac:dyDescent="0.3">
      <c r="A150" s="2">
        <f t="shared" ca="1" si="18"/>
        <v>45081</v>
      </c>
      <c r="B150" s="1" t="str">
        <f t="shared" ca="1" si="19"/>
        <v>IT</v>
      </c>
      <c r="C150" s="1" t="str">
        <f t="shared" ca="1" si="20"/>
        <v>Software</v>
      </c>
      <c r="D150" s="1" t="str">
        <f t="shared" ca="1" si="21"/>
        <v>Star Technologies</v>
      </c>
      <c r="E150" s="1">
        <f t="shared" ca="1" si="22"/>
        <v>32153</v>
      </c>
      <c r="F150" s="1">
        <f t="shared" ca="1" si="23"/>
        <v>12</v>
      </c>
      <c r="G150" s="1">
        <f t="shared" ca="1" si="24"/>
        <v>3858.36</v>
      </c>
      <c r="H150" s="1">
        <f t="shared" ca="1" si="25"/>
        <v>36011.360000000001</v>
      </c>
      <c r="I150" s="1" t="str">
        <f t="shared" ca="1" si="26"/>
        <v>CC101</v>
      </c>
    </row>
    <row r="151" spans="1:9" hidden="1" x14ac:dyDescent="0.3">
      <c r="A151" s="2">
        <f t="shared" ca="1" si="18"/>
        <v>45072</v>
      </c>
      <c r="B151" s="1" t="str">
        <f t="shared" ca="1" si="19"/>
        <v>HR</v>
      </c>
      <c r="C151" s="1" t="str">
        <f t="shared" ca="1" si="20"/>
        <v>Office Supplies</v>
      </c>
      <c r="D151" s="1" t="str">
        <f t="shared" ca="1" si="21"/>
        <v>Alpha Logistics</v>
      </c>
      <c r="E151" s="1">
        <f t="shared" ca="1" si="22"/>
        <v>35449</v>
      </c>
      <c r="F151" s="1">
        <f t="shared" ca="1" si="23"/>
        <v>12</v>
      </c>
      <c r="G151" s="1">
        <f t="shared" ca="1" si="24"/>
        <v>4253.88</v>
      </c>
      <c r="H151" s="1">
        <f t="shared" ca="1" si="25"/>
        <v>39702.879999999997</v>
      </c>
      <c r="I151" s="1" t="str">
        <f t="shared" ca="1" si="26"/>
        <v>CC102</v>
      </c>
    </row>
    <row r="152" spans="1:9" x14ac:dyDescent="0.3">
      <c r="A152" s="2">
        <f t="shared" ca="1" si="18"/>
        <v>45530</v>
      </c>
      <c r="B152" s="1" t="str">
        <f t="shared" ca="1" si="19"/>
        <v>Operations</v>
      </c>
      <c r="C152" s="1" t="str">
        <f t="shared" ca="1" si="20"/>
        <v>Marketing Spend</v>
      </c>
      <c r="D152" s="1" t="str">
        <f t="shared" ca="1" si="21"/>
        <v>Infoserve Pvt Ltd</v>
      </c>
      <c r="E152" s="1">
        <f t="shared" ca="1" si="22"/>
        <v>32300</v>
      </c>
      <c r="F152" s="1">
        <f t="shared" ca="1" si="23"/>
        <v>12</v>
      </c>
      <c r="G152" s="1">
        <f t="shared" ca="1" si="24"/>
        <v>3876</v>
      </c>
      <c r="H152" s="1">
        <f t="shared" ca="1" si="25"/>
        <v>36176</v>
      </c>
      <c r="I152" s="1" t="str">
        <f t="shared" ca="1" si="26"/>
        <v>CC105</v>
      </c>
    </row>
    <row r="153" spans="1:9" x14ac:dyDescent="0.3">
      <c r="A153" s="2">
        <f t="shared" ca="1" si="18"/>
        <v>45108</v>
      </c>
      <c r="B153" s="1" t="str">
        <f t="shared" ca="1" si="19"/>
        <v>Marketing</v>
      </c>
      <c r="C153" s="1" t="str">
        <f t="shared" ca="1" si="20"/>
        <v>Utilities</v>
      </c>
      <c r="D153" s="1" t="str">
        <f t="shared" ca="1" si="21"/>
        <v>Skyline Marketing</v>
      </c>
      <c r="E153" s="1">
        <f t="shared" ca="1" si="22"/>
        <v>32551</v>
      </c>
      <c r="F153" s="1">
        <f t="shared" ca="1" si="23"/>
        <v>18</v>
      </c>
      <c r="G153" s="1">
        <f t="shared" ca="1" si="24"/>
        <v>5859.18</v>
      </c>
      <c r="H153" s="1">
        <f t="shared" ca="1" si="25"/>
        <v>38410.18</v>
      </c>
      <c r="I153" s="1" t="str">
        <f t="shared" ca="1" si="26"/>
        <v>CC106</v>
      </c>
    </row>
    <row r="154" spans="1:9" x14ac:dyDescent="0.3">
      <c r="A154" s="2">
        <f t="shared" ca="1" si="18"/>
        <v>45416</v>
      </c>
      <c r="B154" s="1" t="str">
        <f t="shared" ca="1" si="19"/>
        <v>Operations</v>
      </c>
      <c r="C154" s="1" t="str">
        <f t="shared" ca="1" si="20"/>
        <v>Salaries</v>
      </c>
      <c r="D154" s="1" t="str">
        <f t="shared" ca="1" si="21"/>
        <v>Infoserve Pvt Ltd</v>
      </c>
      <c r="E154" s="1">
        <f t="shared" ca="1" si="22"/>
        <v>47885</v>
      </c>
      <c r="F154" s="1">
        <f t="shared" ca="1" si="23"/>
        <v>5</v>
      </c>
      <c r="G154" s="1">
        <f t="shared" ca="1" si="24"/>
        <v>2394.25</v>
      </c>
      <c r="H154" s="1">
        <f t="shared" ca="1" si="25"/>
        <v>50279.25</v>
      </c>
      <c r="I154" s="1" t="str">
        <f t="shared" ca="1" si="26"/>
        <v>CC104</v>
      </c>
    </row>
    <row r="155" spans="1:9" x14ac:dyDescent="0.3">
      <c r="A155" s="2">
        <f t="shared" ca="1" si="18"/>
        <v>45645</v>
      </c>
      <c r="B155" s="1" t="str">
        <f t="shared" ca="1" si="19"/>
        <v>Sales</v>
      </c>
      <c r="C155" s="1" t="str">
        <f t="shared" ca="1" si="20"/>
        <v>Software</v>
      </c>
      <c r="D155" s="1" t="str">
        <f t="shared" ca="1" si="21"/>
        <v>Star Technologies</v>
      </c>
      <c r="E155" s="1">
        <f t="shared" ca="1" si="22"/>
        <v>21936</v>
      </c>
      <c r="F155" s="1">
        <f t="shared" ca="1" si="23"/>
        <v>5</v>
      </c>
      <c r="G155" s="1">
        <f t="shared" ca="1" si="24"/>
        <v>1096.8</v>
      </c>
      <c r="H155" s="1">
        <f t="shared" ca="1" si="25"/>
        <v>23032.799999999999</v>
      </c>
      <c r="I155" s="1" t="str">
        <f t="shared" ca="1" si="26"/>
        <v>CC101</v>
      </c>
    </row>
    <row r="156" spans="1:9" hidden="1" x14ac:dyDescent="0.3">
      <c r="A156" s="2">
        <f t="shared" ca="1" si="18"/>
        <v>45053</v>
      </c>
      <c r="B156" s="1" t="str">
        <f t="shared" ca="1" si="19"/>
        <v>Sales</v>
      </c>
      <c r="C156" s="1" t="str">
        <f t="shared" ca="1" si="20"/>
        <v>Maintenance</v>
      </c>
      <c r="D156" s="1" t="str">
        <f t="shared" ca="1" si="21"/>
        <v>Global Traders</v>
      </c>
      <c r="E156" s="1">
        <f t="shared" ca="1" si="22"/>
        <v>32226</v>
      </c>
      <c r="F156" s="1">
        <f t="shared" ca="1" si="23"/>
        <v>12</v>
      </c>
      <c r="G156" s="1">
        <f t="shared" ca="1" si="24"/>
        <v>3867.12</v>
      </c>
      <c r="H156" s="1">
        <f t="shared" ca="1" si="25"/>
        <v>36093.120000000003</v>
      </c>
      <c r="I156" s="1" t="str">
        <f t="shared" ca="1" si="26"/>
        <v>CC106</v>
      </c>
    </row>
    <row r="157" spans="1:9" x14ac:dyDescent="0.3">
      <c r="A157" s="2">
        <f t="shared" ca="1" si="18"/>
        <v>45057</v>
      </c>
      <c r="B157" s="1" t="str">
        <f t="shared" ca="1" si="19"/>
        <v>Procurement</v>
      </c>
      <c r="C157" s="1" t="str">
        <f t="shared" ca="1" si="20"/>
        <v>Office Supplies</v>
      </c>
      <c r="D157" s="1" t="str">
        <f t="shared" ca="1" si="21"/>
        <v>Star Technologies</v>
      </c>
      <c r="E157" s="1">
        <f t="shared" ca="1" si="22"/>
        <v>10513</v>
      </c>
      <c r="F157" s="1">
        <f t="shared" ca="1" si="23"/>
        <v>5</v>
      </c>
      <c r="G157" s="1">
        <f t="shared" ca="1" si="24"/>
        <v>525.65</v>
      </c>
      <c r="H157" s="1">
        <f t="shared" ca="1" si="25"/>
        <v>11038.65</v>
      </c>
      <c r="I157" s="1" t="str">
        <f t="shared" ca="1" si="26"/>
        <v>CC106</v>
      </c>
    </row>
    <row r="158" spans="1:9" x14ac:dyDescent="0.3">
      <c r="A158" s="2">
        <f t="shared" ca="1" si="18"/>
        <v>44975</v>
      </c>
      <c r="B158" s="1" t="str">
        <f t="shared" ca="1" si="19"/>
        <v>Sales</v>
      </c>
      <c r="C158" s="1" t="str">
        <f t="shared" ca="1" si="20"/>
        <v>Miscellaneous</v>
      </c>
      <c r="D158" s="1" t="str">
        <f t="shared" ca="1" si="21"/>
        <v>Alpha Logistics</v>
      </c>
      <c r="E158" s="1">
        <f t="shared" ca="1" si="22"/>
        <v>17361</v>
      </c>
      <c r="F158" s="1">
        <f t="shared" ca="1" si="23"/>
        <v>5</v>
      </c>
      <c r="G158" s="1">
        <f t="shared" ca="1" si="24"/>
        <v>868.05</v>
      </c>
      <c r="H158" s="1">
        <f t="shared" ca="1" si="25"/>
        <v>18229.05</v>
      </c>
      <c r="I158" s="1" t="str">
        <f t="shared" ca="1" si="26"/>
        <v>CC101</v>
      </c>
    </row>
    <row r="159" spans="1:9" hidden="1" x14ac:dyDescent="0.3">
      <c r="A159" s="2">
        <f t="shared" ca="1" si="18"/>
        <v>45554</v>
      </c>
      <c r="B159" s="1" t="str">
        <f t="shared" ca="1" si="19"/>
        <v>Sales</v>
      </c>
      <c r="C159" s="1" t="str">
        <f t="shared" ca="1" si="20"/>
        <v>Salaries</v>
      </c>
      <c r="D159" s="1" t="str">
        <f t="shared" ca="1" si="21"/>
        <v>Infoserve Pvt Ltd</v>
      </c>
      <c r="E159" s="1">
        <f t="shared" ca="1" si="22"/>
        <v>35574</v>
      </c>
      <c r="F159" s="1">
        <f t="shared" ca="1" si="23"/>
        <v>5</v>
      </c>
      <c r="G159" s="1">
        <f t="shared" ca="1" si="24"/>
        <v>1778.7</v>
      </c>
      <c r="H159" s="1">
        <f t="shared" ca="1" si="25"/>
        <v>37352.699999999997</v>
      </c>
      <c r="I159" s="1" t="str">
        <f t="shared" ca="1" si="26"/>
        <v>CC104</v>
      </c>
    </row>
    <row r="160" spans="1:9" x14ac:dyDescent="0.3">
      <c r="A160" s="2">
        <f t="shared" ca="1" si="18"/>
        <v>45153</v>
      </c>
      <c r="B160" s="1" t="str">
        <f t="shared" ca="1" si="19"/>
        <v>Admin</v>
      </c>
      <c r="C160" s="1" t="str">
        <f t="shared" ca="1" si="20"/>
        <v>Utilities</v>
      </c>
      <c r="D160" s="1" t="str">
        <f t="shared" ca="1" si="21"/>
        <v>Skyline Marketing</v>
      </c>
      <c r="E160" s="1">
        <f t="shared" ca="1" si="22"/>
        <v>45500</v>
      </c>
      <c r="F160" s="1">
        <f t="shared" ca="1" si="23"/>
        <v>12</v>
      </c>
      <c r="G160" s="1">
        <f t="shared" ca="1" si="24"/>
        <v>5460</v>
      </c>
      <c r="H160" s="1">
        <f t="shared" ca="1" si="25"/>
        <v>50960</v>
      </c>
      <c r="I160" s="1" t="str">
        <f t="shared" ca="1" si="26"/>
        <v>CC103</v>
      </c>
    </row>
    <row r="161" spans="1:9" hidden="1" x14ac:dyDescent="0.3">
      <c r="A161" s="2">
        <f t="shared" ca="1" si="18"/>
        <v>44984</v>
      </c>
      <c r="B161" s="1" t="str">
        <f t="shared" ca="1" si="19"/>
        <v>HR</v>
      </c>
      <c r="C161" s="1" t="str">
        <f t="shared" ca="1" si="20"/>
        <v>Salaries</v>
      </c>
      <c r="D161" s="1" t="str">
        <f t="shared" ca="1" si="21"/>
        <v>Star Technologies</v>
      </c>
      <c r="E161" s="1">
        <f t="shared" ca="1" si="22"/>
        <v>47630</v>
      </c>
      <c r="F161" s="1">
        <f t="shared" ca="1" si="23"/>
        <v>12</v>
      </c>
      <c r="G161" s="1">
        <f t="shared" ca="1" si="24"/>
        <v>5715.6</v>
      </c>
      <c r="H161" s="1">
        <f t="shared" ca="1" si="25"/>
        <v>53345.599999999999</v>
      </c>
      <c r="I161" s="1" t="str">
        <f t="shared" ca="1" si="26"/>
        <v>CC106</v>
      </c>
    </row>
    <row r="162" spans="1:9" hidden="1" x14ac:dyDescent="0.3">
      <c r="A162" s="2">
        <f t="shared" ca="1" si="18"/>
        <v>45306</v>
      </c>
      <c r="B162" s="1" t="str">
        <f t="shared" ca="1" si="19"/>
        <v>Marketing</v>
      </c>
      <c r="C162" s="1" t="str">
        <f t="shared" ca="1" si="20"/>
        <v>Office Supplies</v>
      </c>
      <c r="D162" s="1" t="str">
        <f t="shared" ca="1" si="21"/>
        <v>Rapid Transport</v>
      </c>
      <c r="E162" s="1">
        <f t="shared" ca="1" si="22"/>
        <v>43384</v>
      </c>
      <c r="F162" s="1">
        <f t="shared" ca="1" si="23"/>
        <v>12</v>
      </c>
      <c r="G162" s="1">
        <f t="shared" ca="1" si="24"/>
        <v>5206.08</v>
      </c>
      <c r="H162" s="1">
        <f t="shared" ca="1" si="25"/>
        <v>48590.080000000002</v>
      </c>
      <c r="I162" s="1" t="str">
        <f t="shared" ca="1" si="26"/>
        <v>CC104</v>
      </c>
    </row>
    <row r="163" spans="1:9" hidden="1" x14ac:dyDescent="0.3">
      <c r="A163" s="2">
        <f t="shared" ca="1" si="18"/>
        <v>45059</v>
      </c>
      <c r="B163" s="1" t="str">
        <f t="shared" ca="1" si="19"/>
        <v>HR</v>
      </c>
      <c r="C163" s="1" t="str">
        <f t="shared" ca="1" si="20"/>
        <v>Maintenance</v>
      </c>
      <c r="D163" s="1" t="str">
        <f t="shared" ca="1" si="21"/>
        <v>Star Technologies</v>
      </c>
      <c r="E163" s="1">
        <f t="shared" ca="1" si="22"/>
        <v>22465</v>
      </c>
      <c r="F163" s="1">
        <f t="shared" ca="1" si="23"/>
        <v>18</v>
      </c>
      <c r="G163" s="1">
        <f t="shared" ca="1" si="24"/>
        <v>4043.7</v>
      </c>
      <c r="H163" s="1">
        <f t="shared" ca="1" si="25"/>
        <v>26508.7</v>
      </c>
      <c r="I163" s="1" t="str">
        <f t="shared" ca="1" si="26"/>
        <v>CC104</v>
      </c>
    </row>
    <row r="164" spans="1:9" x14ac:dyDescent="0.3">
      <c r="A164" s="2">
        <f t="shared" ca="1" si="18"/>
        <v>45517</v>
      </c>
      <c r="B164" s="1" t="str">
        <f t="shared" ca="1" si="19"/>
        <v>Finance</v>
      </c>
      <c r="C164" s="1" t="str">
        <f t="shared" ca="1" si="20"/>
        <v>Travel</v>
      </c>
      <c r="D164" s="1" t="str">
        <f t="shared" ca="1" si="21"/>
        <v>Universal Systems</v>
      </c>
      <c r="E164" s="1">
        <f t="shared" ca="1" si="22"/>
        <v>26046</v>
      </c>
      <c r="F164" s="1">
        <f t="shared" ca="1" si="23"/>
        <v>5</v>
      </c>
      <c r="G164" s="1">
        <f t="shared" ca="1" si="24"/>
        <v>1302.3</v>
      </c>
      <c r="H164" s="1">
        <f t="shared" ca="1" si="25"/>
        <v>27348.3</v>
      </c>
      <c r="I164" s="1" t="str">
        <f t="shared" ca="1" si="26"/>
        <v>CC101</v>
      </c>
    </row>
    <row r="165" spans="1:9" hidden="1" x14ac:dyDescent="0.3">
      <c r="A165" s="2">
        <f t="shared" ca="1" si="18"/>
        <v>45559</v>
      </c>
      <c r="B165" s="1" t="str">
        <f t="shared" ca="1" si="19"/>
        <v>HR</v>
      </c>
      <c r="C165" s="1" t="str">
        <f t="shared" ca="1" si="20"/>
        <v>Training</v>
      </c>
      <c r="D165" s="1" t="str">
        <f t="shared" ca="1" si="21"/>
        <v>Universal Systems</v>
      </c>
      <c r="E165" s="1">
        <f t="shared" ca="1" si="22"/>
        <v>44549</v>
      </c>
      <c r="F165" s="1">
        <f t="shared" ca="1" si="23"/>
        <v>18</v>
      </c>
      <c r="G165" s="1">
        <f t="shared" ca="1" si="24"/>
        <v>8018.82</v>
      </c>
      <c r="H165" s="1">
        <f t="shared" ca="1" si="25"/>
        <v>52567.82</v>
      </c>
      <c r="I165" s="1" t="str">
        <f t="shared" ca="1" si="26"/>
        <v>CC106</v>
      </c>
    </row>
    <row r="166" spans="1:9" hidden="1" x14ac:dyDescent="0.3">
      <c r="A166" s="2">
        <f t="shared" ca="1" si="18"/>
        <v>45508</v>
      </c>
      <c r="B166" s="1" t="str">
        <f t="shared" ca="1" si="19"/>
        <v>Sales</v>
      </c>
      <c r="C166" s="1" t="str">
        <f t="shared" ca="1" si="20"/>
        <v>Office Supplies</v>
      </c>
      <c r="D166" s="1" t="str">
        <f t="shared" ca="1" si="21"/>
        <v>Global Traders</v>
      </c>
      <c r="E166" s="1">
        <f t="shared" ca="1" si="22"/>
        <v>3129</v>
      </c>
      <c r="F166" s="1">
        <f t="shared" ca="1" si="23"/>
        <v>12</v>
      </c>
      <c r="G166" s="1">
        <f t="shared" ca="1" si="24"/>
        <v>375.48</v>
      </c>
      <c r="H166" s="1">
        <f t="shared" ca="1" si="25"/>
        <v>3504.48</v>
      </c>
      <c r="I166" s="1" t="str">
        <f t="shared" ca="1" si="26"/>
        <v>CC105</v>
      </c>
    </row>
    <row r="167" spans="1:9" x14ac:dyDescent="0.3">
      <c r="A167" s="2">
        <f t="shared" ca="1" si="18"/>
        <v>44972</v>
      </c>
      <c r="B167" s="1" t="str">
        <f t="shared" ca="1" si="19"/>
        <v>IT</v>
      </c>
      <c r="C167" s="1" t="str">
        <f t="shared" ca="1" si="20"/>
        <v>Software</v>
      </c>
      <c r="D167" s="1" t="str">
        <f t="shared" ca="1" si="21"/>
        <v>Star Technologies</v>
      </c>
      <c r="E167" s="1">
        <f t="shared" ca="1" si="22"/>
        <v>35768</v>
      </c>
      <c r="F167" s="1">
        <f t="shared" ca="1" si="23"/>
        <v>5</v>
      </c>
      <c r="G167" s="1">
        <f t="shared" ca="1" si="24"/>
        <v>1788.4</v>
      </c>
      <c r="H167" s="1">
        <f t="shared" ca="1" si="25"/>
        <v>37556.400000000001</v>
      </c>
      <c r="I167" s="1" t="str">
        <f t="shared" ca="1" si="26"/>
        <v>CC105</v>
      </c>
    </row>
    <row r="168" spans="1:9" hidden="1" x14ac:dyDescent="0.3">
      <c r="A168" s="2">
        <f t="shared" ca="1" si="18"/>
        <v>45236</v>
      </c>
      <c r="B168" s="1" t="str">
        <f t="shared" ca="1" si="19"/>
        <v>Sales</v>
      </c>
      <c r="C168" s="1" t="str">
        <f t="shared" ca="1" si="20"/>
        <v>Software</v>
      </c>
      <c r="D168" s="1" t="str">
        <f t="shared" ca="1" si="21"/>
        <v>Rapid Transport</v>
      </c>
      <c r="E168" s="1">
        <f t="shared" ca="1" si="22"/>
        <v>7128</v>
      </c>
      <c r="F168" s="1">
        <f t="shared" ca="1" si="23"/>
        <v>18</v>
      </c>
      <c r="G168" s="1">
        <f t="shared" ca="1" si="24"/>
        <v>1283.04</v>
      </c>
      <c r="H168" s="1">
        <f t="shared" ca="1" si="25"/>
        <v>8411.0400000000009</v>
      </c>
      <c r="I168" s="1" t="str">
        <f t="shared" ca="1" si="26"/>
        <v>CC103</v>
      </c>
    </row>
    <row r="169" spans="1:9" hidden="1" x14ac:dyDescent="0.3">
      <c r="A169" s="2">
        <f t="shared" ca="1" si="18"/>
        <v>45244</v>
      </c>
      <c r="B169" s="1" t="str">
        <f t="shared" ca="1" si="19"/>
        <v>Finance</v>
      </c>
      <c r="C169" s="1" t="str">
        <f t="shared" ca="1" si="20"/>
        <v>Training</v>
      </c>
      <c r="D169" s="1" t="str">
        <f t="shared" ca="1" si="21"/>
        <v>Universal Systems</v>
      </c>
      <c r="E169" s="1">
        <f t="shared" ca="1" si="22"/>
        <v>4504</v>
      </c>
      <c r="F169" s="1">
        <f t="shared" ca="1" si="23"/>
        <v>18</v>
      </c>
      <c r="G169" s="1">
        <f t="shared" ca="1" si="24"/>
        <v>810.72</v>
      </c>
      <c r="H169" s="1">
        <f t="shared" ca="1" si="25"/>
        <v>5314.72</v>
      </c>
      <c r="I169" s="1" t="str">
        <f t="shared" ca="1" si="26"/>
        <v>CC104</v>
      </c>
    </row>
    <row r="170" spans="1:9" hidden="1" x14ac:dyDescent="0.3">
      <c r="A170" s="2">
        <f t="shared" ca="1" si="18"/>
        <v>45111</v>
      </c>
      <c r="B170" s="1" t="str">
        <f t="shared" ca="1" si="19"/>
        <v>Marketing</v>
      </c>
      <c r="C170" s="1" t="str">
        <f t="shared" ca="1" si="20"/>
        <v>Transportation</v>
      </c>
      <c r="D170" s="1" t="str">
        <f t="shared" ca="1" si="21"/>
        <v>Rapid Transport</v>
      </c>
      <c r="E170" s="1">
        <f t="shared" ca="1" si="22"/>
        <v>16224</v>
      </c>
      <c r="F170" s="1">
        <f t="shared" ca="1" si="23"/>
        <v>5</v>
      </c>
      <c r="G170" s="1">
        <f t="shared" ca="1" si="24"/>
        <v>811.2</v>
      </c>
      <c r="H170" s="1">
        <f t="shared" ca="1" si="25"/>
        <v>17035.2</v>
      </c>
      <c r="I170" s="1" t="str">
        <f t="shared" ca="1" si="26"/>
        <v>CC105</v>
      </c>
    </row>
    <row r="171" spans="1:9" x14ac:dyDescent="0.3">
      <c r="A171" s="2">
        <f t="shared" ca="1" si="18"/>
        <v>45437</v>
      </c>
      <c r="B171" s="1" t="str">
        <f t="shared" ca="1" si="19"/>
        <v>Sales</v>
      </c>
      <c r="C171" s="1" t="str">
        <f t="shared" ca="1" si="20"/>
        <v>Utilities</v>
      </c>
      <c r="D171" s="1" t="str">
        <f t="shared" ca="1" si="21"/>
        <v>Star Technologies</v>
      </c>
      <c r="E171" s="1">
        <f t="shared" ca="1" si="22"/>
        <v>30467</v>
      </c>
      <c r="F171" s="1">
        <f t="shared" ca="1" si="23"/>
        <v>18</v>
      </c>
      <c r="G171" s="1">
        <f t="shared" ca="1" si="24"/>
        <v>5484.06</v>
      </c>
      <c r="H171" s="1">
        <f t="shared" ca="1" si="25"/>
        <v>35951.06</v>
      </c>
      <c r="I171" s="1" t="str">
        <f t="shared" ca="1" si="26"/>
        <v>CC104</v>
      </c>
    </row>
    <row r="172" spans="1:9" hidden="1" x14ac:dyDescent="0.3">
      <c r="A172" s="2">
        <f t="shared" ca="1" si="18"/>
        <v>45044</v>
      </c>
      <c r="B172" s="1" t="str">
        <f t="shared" ca="1" si="19"/>
        <v>Admin</v>
      </c>
      <c r="C172" s="1" t="str">
        <f t="shared" ca="1" si="20"/>
        <v>Office Supplies</v>
      </c>
      <c r="D172" s="1" t="str">
        <f t="shared" ca="1" si="21"/>
        <v>Star Technologies</v>
      </c>
      <c r="E172" s="1">
        <f t="shared" ca="1" si="22"/>
        <v>12779</v>
      </c>
      <c r="F172" s="1">
        <f t="shared" ca="1" si="23"/>
        <v>5</v>
      </c>
      <c r="G172" s="1">
        <f t="shared" ca="1" si="24"/>
        <v>638.95000000000005</v>
      </c>
      <c r="H172" s="1">
        <f t="shared" ca="1" si="25"/>
        <v>13417.95</v>
      </c>
      <c r="I172" s="1" t="str">
        <f t="shared" ca="1" si="26"/>
        <v>CC106</v>
      </c>
    </row>
    <row r="173" spans="1:9" x14ac:dyDescent="0.3">
      <c r="A173" s="2">
        <f t="shared" ca="1" si="18"/>
        <v>45609</v>
      </c>
      <c r="B173" s="1" t="str">
        <f t="shared" ca="1" si="19"/>
        <v>Admin</v>
      </c>
      <c r="C173" s="1" t="str">
        <f t="shared" ca="1" si="20"/>
        <v>Software</v>
      </c>
      <c r="D173" s="1" t="str">
        <f t="shared" ca="1" si="21"/>
        <v>Infoserve Pvt Ltd</v>
      </c>
      <c r="E173" s="1">
        <f t="shared" ca="1" si="22"/>
        <v>29877</v>
      </c>
      <c r="F173" s="1">
        <f t="shared" ca="1" si="23"/>
        <v>5</v>
      </c>
      <c r="G173" s="1">
        <f t="shared" ca="1" si="24"/>
        <v>1493.85</v>
      </c>
      <c r="H173" s="1">
        <f t="shared" ca="1" si="25"/>
        <v>31370.85</v>
      </c>
      <c r="I173" s="1" t="str">
        <f t="shared" ca="1" si="26"/>
        <v>CC103</v>
      </c>
    </row>
    <row r="174" spans="1:9" x14ac:dyDescent="0.3">
      <c r="A174" s="2">
        <f t="shared" ca="1" si="18"/>
        <v>45612</v>
      </c>
      <c r="B174" s="1" t="str">
        <f t="shared" ca="1" si="19"/>
        <v>Sales</v>
      </c>
      <c r="C174" s="1" t="str">
        <f t="shared" ca="1" si="20"/>
        <v>Transportation</v>
      </c>
      <c r="D174" s="1" t="str">
        <f t="shared" ca="1" si="21"/>
        <v>Alpha Logistics</v>
      </c>
      <c r="E174" s="1">
        <f t="shared" ca="1" si="22"/>
        <v>38794</v>
      </c>
      <c r="F174" s="1">
        <f t="shared" ca="1" si="23"/>
        <v>12</v>
      </c>
      <c r="G174" s="1">
        <f t="shared" ca="1" si="24"/>
        <v>4655.28</v>
      </c>
      <c r="H174" s="1">
        <f t="shared" ca="1" si="25"/>
        <v>43449.279999999999</v>
      </c>
      <c r="I174" s="1" t="str">
        <f t="shared" ca="1" si="26"/>
        <v>CC103</v>
      </c>
    </row>
    <row r="175" spans="1:9" hidden="1" x14ac:dyDescent="0.3">
      <c r="A175" s="2">
        <f t="shared" ca="1" si="18"/>
        <v>45370</v>
      </c>
      <c r="B175" s="1" t="str">
        <f t="shared" ca="1" si="19"/>
        <v>HR</v>
      </c>
      <c r="C175" s="1" t="str">
        <f t="shared" ca="1" si="20"/>
        <v>Training</v>
      </c>
      <c r="D175" s="1" t="str">
        <f t="shared" ca="1" si="21"/>
        <v>Urban Office Mart</v>
      </c>
      <c r="E175" s="1">
        <f t="shared" ca="1" si="22"/>
        <v>38696</v>
      </c>
      <c r="F175" s="1">
        <f t="shared" ca="1" si="23"/>
        <v>12</v>
      </c>
      <c r="G175" s="1">
        <f t="shared" ca="1" si="24"/>
        <v>4643.5200000000004</v>
      </c>
      <c r="H175" s="1">
        <f t="shared" ca="1" si="25"/>
        <v>43339.520000000004</v>
      </c>
      <c r="I175" s="1" t="str">
        <f t="shared" ca="1" si="26"/>
        <v>CC103</v>
      </c>
    </row>
    <row r="176" spans="1:9" hidden="1" x14ac:dyDescent="0.3">
      <c r="A176" s="2">
        <f t="shared" ca="1" si="18"/>
        <v>45242</v>
      </c>
      <c r="B176" s="1" t="str">
        <f t="shared" ca="1" si="19"/>
        <v>IT</v>
      </c>
      <c r="C176" s="1" t="str">
        <f t="shared" ca="1" si="20"/>
        <v>Utilities</v>
      </c>
      <c r="D176" s="1" t="str">
        <f t="shared" ca="1" si="21"/>
        <v>Urban Office Mart</v>
      </c>
      <c r="E176" s="1">
        <f t="shared" ca="1" si="22"/>
        <v>9813</v>
      </c>
      <c r="F176" s="1">
        <f t="shared" ca="1" si="23"/>
        <v>18</v>
      </c>
      <c r="G176" s="1">
        <f t="shared" ca="1" si="24"/>
        <v>1766.34</v>
      </c>
      <c r="H176" s="1">
        <f t="shared" ca="1" si="25"/>
        <v>11579.34</v>
      </c>
      <c r="I176" s="1" t="str">
        <f t="shared" ca="1" si="26"/>
        <v>CC103</v>
      </c>
    </row>
    <row r="177" spans="1:9" x14ac:dyDescent="0.3">
      <c r="A177" s="2">
        <f t="shared" ca="1" si="18"/>
        <v>45033</v>
      </c>
      <c r="B177" s="1" t="str">
        <f t="shared" ca="1" si="19"/>
        <v>Admin</v>
      </c>
      <c r="C177" s="1" t="str">
        <f t="shared" ca="1" si="20"/>
        <v>Office Supplies</v>
      </c>
      <c r="D177" s="1" t="str">
        <f t="shared" ca="1" si="21"/>
        <v>Star Technologies</v>
      </c>
      <c r="E177" s="1">
        <f t="shared" ca="1" si="22"/>
        <v>22712</v>
      </c>
      <c r="F177" s="1">
        <f t="shared" ca="1" si="23"/>
        <v>12</v>
      </c>
      <c r="G177" s="1">
        <f t="shared" ca="1" si="24"/>
        <v>2725.44</v>
      </c>
      <c r="H177" s="1">
        <f t="shared" ca="1" si="25"/>
        <v>25437.439999999999</v>
      </c>
      <c r="I177" s="1" t="str">
        <f t="shared" ca="1" si="26"/>
        <v>CC106</v>
      </c>
    </row>
    <row r="178" spans="1:9" hidden="1" x14ac:dyDescent="0.3">
      <c r="A178" s="2">
        <f t="shared" ca="1" si="18"/>
        <v>45504</v>
      </c>
      <c r="B178" s="1" t="str">
        <f t="shared" ca="1" si="19"/>
        <v>Admin</v>
      </c>
      <c r="C178" s="1" t="str">
        <f t="shared" ca="1" si="20"/>
        <v>Miscellaneous</v>
      </c>
      <c r="D178" s="1" t="str">
        <f t="shared" ca="1" si="21"/>
        <v>Alpha Logistics</v>
      </c>
      <c r="E178" s="1">
        <f t="shared" ca="1" si="22"/>
        <v>22428</v>
      </c>
      <c r="F178" s="1">
        <f t="shared" ca="1" si="23"/>
        <v>12</v>
      </c>
      <c r="G178" s="1">
        <f t="shared" ca="1" si="24"/>
        <v>2691.36</v>
      </c>
      <c r="H178" s="1">
        <f t="shared" ca="1" si="25"/>
        <v>25119.360000000001</v>
      </c>
      <c r="I178" s="1" t="str">
        <f t="shared" ca="1" si="26"/>
        <v>CC106</v>
      </c>
    </row>
    <row r="179" spans="1:9" hidden="1" x14ac:dyDescent="0.3">
      <c r="A179" s="2">
        <f t="shared" ca="1" si="18"/>
        <v>45309</v>
      </c>
      <c r="B179" s="1" t="str">
        <f t="shared" ca="1" si="19"/>
        <v>Sales</v>
      </c>
      <c r="C179" s="1" t="str">
        <f t="shared" ca="1" si="20"/>
        <v>Office Supplies</v>
      </c>
      <c r="D179" s="1" t="str">
        <f t="shared" ca="1" si="21"/>
        <v>Star Technologies</v>
      </c>
      <c r="E179" s="1">
        <f t="shared" ca="1" si="22"/>
        <v>21378</v>
      </c>
      <c r="F179" s="1">
        <f t="shared" ca="1" si="23"/>
        <v>5</v>
      </c>
      <c r="G179" s="1">
        <f t="shared" ca="1" si="24"/>
        <v>1068.9000000000001</v>
      </c>
      <c r="H179" s="1">
        <f t="shared" ca="1" si="25"/>
        <v>22446.9</v>
      </c>
      <c r="I179" s="1" t="str">
        <f t="shared" ca="1" si="26"/>
        <v>CC104</v>
      </c>
    </row>
    <row r="180" spans="1:9" x14ac:dyDescent="0.3">
      <c r="A180" s="2">
        <f t="shared" ca="1" si="18"/>
        <v>45117</v>
      </c>
      <c r="B180" s="1" t="str">
        <f t="shared" ca="1" si="19"/>
        <v>Marketing</v>
      </c>
      <c r="C180" s="1" t="str">
        <f t="shared" ca="1" si="20"/>
        <v>Office Supplies</v>
      </c>
      <c r="D180" s="1" t="str">
        <f t="shared" ca="1" si="21"/>
        <v>Universal Systems</v>
      </c>
      <c r="E180" s="1">
        <f t="shared" ca="1" si="22"/>
        <v>40303</v>
      </c>
      <c r="F180" s="1">
        <f t="shared" ca="1" si="23"/>
        <v>5</v>
      </c>
      <c r="G180" s="1">
        <f t="shared" ca="1" si="24"/>
        <v>2015.15</v>
      </c>
      <c r="H180" s="1">
        <f t="shared" ca="1" si="25"/>
        <v>42318.15</v>
      </c>
      <c r="I180" s="1" t="str">
        <f t="shared" ca="1" si="26"/>
        <v>CC104</v>
      </c>
    </row>
    <row r="181" spans="1:9" x14ac:dyDescent="0.3">
      <c r="A181" s="2">
        <f t="shared" ca="1" si="18"/>
        <v>45281</v>
      </c>
      <c r="B181" s="1" t="str">
        <f t="shared" ca="1" si="19"/>
        <v>IT</v>
      </c>
      <c r="C181" s="1" t="str">
        <f t="shared" ca="1" si="20"/>
        <v>Miscellaneous</v>
      </c>
      <c r="D181" s="1" t="str">
        <f t="shared" ca="1" si="21"/>
        <v>Bright Solutions</v>
      </c>
      <c r="E181" s="1">
        <f t="shared" ca="1" si="22"/>
        <v>19748</v>
      </c>
      <c r="F181" s="1">
        <f t="shared" ca="1" si="23"/>
        <v>18</v>
      </c>
      <c r="G181" s="1">
        <f t="shared" ca="1" si="24"/>
        <v>3554.64</v>
      </c>
      <c r="H181" s="1">
        <f t="shared" ca="1" si="25"/>
        <v>23302.639999999999</v>
      </c>
      <c r="I181" s="1" t="str">
        <f t="shared" ca="1" si="26"/>
        <v>CC103</v>
      </c>
    </row>
    <row r="182" spans="1:9" hidden="1" x14ac:dyDescent="0.3">
      <c r="A182" s="2">
        <f t="shared" ca="1" si="18"/>
        <v>45294</v>
      </c>
      <c r="B182" s="1" t="str">
        <f t="shared" ca="1" si="19"/>
        <v>Operations</v>
      </c>
      <c r="C182" s="1" t="str">
        <f t="shared" ca="1" si="20"/>
        <v>Travel</v>
      </c>
      <c r="D182" s="1" t="str">
        <f t="shared" ca="1" si="21"/>
        <v>Urban Office Mart</v>
      </c>
      <c r="E182" s="1">
        <f t="shared" ca="1" si="22"/>
        <v>41463</v>
      </c>
      <c r="F182" s="1">
        <f t="shared" ca="1" si="23"/>
        <v>5</v>
      </c>
      <c r="G182" s="1">
        <f t="shared" ca="1" si="24"/>
        <v>2073.15</v>
      </c>
      <c r="H182" s="1">
        <f t="shared" ca="1" si="25"/>
        <v>43536.15</v>
      </c>
      <c r="I182" s="1" t="str">
        <f t="shared" ca="1" si="26"/>
        <v>CC106</v>
      </c>
    </row>
    <row r="183" spans="1:9" x14ac:dyDescent="0.3">
      <c r="A183" s="2">
        <f t="shared" ca="1" si="18"/>
        <v>44933</v>
      </c>
      <c r="B183" s="1" t="str">
        <f t="shared" ca="1" si="19"/>
        <v>Procurement</v>
      </c>
      <c r="C183" s="1" t="str">
        <f t="shared" ca="1" si="20"/>
        <v>Salaries</v>
      </c>
      <c r="D183" s="1" t="str">
        <f t="shared" ca="1" si="21"/>
        <v>Urban Office Mart</v>
      </c>
      <c r="E183" s="1">
        <f t="shared" ca="1" si="22"/>
        <v>723</v>
      </c>
      <c r="F183" s="1">
        <f t="shared" ca="1" si="23"/>
        <v>12</v>
      </c>
      <c r="G183" s="1">
        <f t="shared" ca="1" si="24"/>
        <v>86.76</v>
      </c>
      <c r="H183" s="1">
        <f t="shared" ca="1" si="25"/>
        <v>809.76</v>
      </c>
      <c r="I183" s="1" t="str">
        <f t="shared" ca="1" si="26"/>
        <v>CC106</v>
      </c>
    </row>
    <row r="184" spans="1:9" x14ac:dyDescent="0.3">
      <c r="A184" s="2">
        <f t="shared" ca="1" si="18"/>
        <v>45214</v>
      </c>
      <c r="B184" s="1" t="str">
        <f t="shared" ca="1" si="19"/>
        <v>Finance</v>
      </c>
      <c r="C184" s="1" t="str">
        <f t="shared" ca="1" si="20"/>
        <v>Utilities</v>
      </c>
      <c r="D184" s="1" t="str">
        <f t="shared" ca="1" si="21"/>
        <v>Alpha Logistics</v>
      </c>
      <c r="E184" s="1">
        <f t="shared" ca="1" si="22"/>
        <v>21041</v>
      </c>
      <c r="F184" s="1">
        <f t="shared" ca="1" si="23"/>
        <v>12</v>
      </c>
      <c r="G184" s="1">
        <f t="shared" ca="1" si="24"/>
        <v>2524.92</v>
      </c>
      <c r="H184" s="1">
        <f t="shared" ca="1" si="25"/>
        <v>23565.919999999998</v>
      </c>
      <c r="I184" s="1" t="str">
        <f t="shared" ca="1" si="26"/>
        <v>CC101</v>
      </c>
    </row>
    <row r="185" spans="1:9" x14ac:dyDescent="0.3">
      <c r="A185" s="2">
        <f t="shared" ca="1" si="18"/>
        <v>45043</v>
      </c>
      <c r="B185" s="1" t="str">
        <f t="shared" ca="1" si="19"/>
        <v>Admin</v>
      </c>
      <c r="C185" s="1" t="str">
        <f t="shared" ca="1" si="20"/>
        <v>Software</v>
      </c>
      <c r="D185" s="1" t="str">
        <f t="shared" ca="1" si="21"/>
        <v>Star Technologies</v>
      </c>
      <c r="E185" s="1">
        <f t="shared" ca="1" si="22"/>
        <v>22632</v>
      </c>
      <c r="F185" s="1">
        <f t="shared" ca="1" si="23"/>
        <v>18</v>
      </c>
      <c r="G185" s="1">
        <f t="shared" ca="1" si="24"/>
        <v>4073.76</v>
      </c>
      <c r="H185" s="1">
        <f t="shared" ca="1" si="25"/>
        <v>26705.760000000002</v>
      </c>
      <c r="I185" s="1" t="str">
        <f t="shared" ca="1" si="26"/>
        <v>CC106</v>
      </c>
    </row>
    <row r="186" spans="1:9" x14ac:dyDescent="0.3">
      <c r="A186" s="2">
        <f t="shared" ca="1" si="18"/>
        <v>45321</v>
      </c>
      <c r="B186" s="1" t="str">
        <f t="shared" ca="1" si="19"/>
        <v>Finance</v>
      </c>
      <c r="C186" s="1" t="str">
        <f t="shared" ca="1" si="20"/>
        <v>Marketing Spend</v>
      </c>
      <c r="D186" s="1" t="str">
        <f t="shared" ca="1" si="21"/>
        <v>Global Traders</v>
      </c>
      <c r="E186" s="1">
        <f t="shared" ca="1" si="22"/>
        <v>27512</v>
      </c>
      <c r="F186" s="1">
        <f t="shared" ca="1" si="23"/>
        <v>12</v>
      </c>
      <c r="G186" s="1">
        <f t="shared" ca="1" si="24"/>
        <v>3301.44</v>
      </c>
      <c r="H186" s="1">
        <f t="shared" ca="1" si="25"/>
        <v>30813.439999999999</v>
      </c>
      <c r="I186" s="1" t="str">
        <f t="shared" ca="1" si="26"/>
        <v>CC101</v>
      </c>
    </row>
    <row r="187" spans="1:9" hidden="1" x14ac:dyDescent="0.3">
      <c r="A187" s="2">
        <f t="shared" ca="1" si="18"/>
        <v>45540</v>
      </c>
      <c r="B187" s="1" t="str">
        <f t="shared" ca="1" si="19"/>
        <v>Marketing</v>
      </c>
      <c r="C187" s="1" t="str">
        <f t="shared" ca="1" si="20"/>
        <v>Utilities</v>
      </c>
      <c r="D187" s="1" t="str">
        <f t="shared" ca="1" si="21"/>
        <v>Star Technologies</v>
      </c>
      <c r="E187" s="1">
        <f t="shared" ca="1" si="22"/>
        <v>25515</v>
      </c>
      <c r="F187" s="1">
        <f t="shared" ca="1" si="23"/>
        <v>18</v>
      </c>
      <c r="G187" s="1">
        <f t="shared" ca="1" si="24"/>
        <v>4592.7</v>
      </c>
      <c r="H187" s="1">
        <f t="shared" ca="1" si="25"/>
        <v>30107.7</v>
      </c>
      <c r="I187" s="1" t="str">
        <f t="shared" ca="1" si="26"/>
        <v>CC105</v>
      </c>
    </row>
    <row r="188" spans="1:9" hidden="1" x14ac:dyDescent="0.3">
      <c r="A188" s="2">
        <f t="shared" ca="1" si="18"/>
        <v>45263</v>
      </c>
      <c r="B188" s="1" t="str">
        <f t="shared" ca="1" si="19"/>
        <v>Finance</v>
      </c>
      <c r="C188" s="1" t="str">
        <f t="shared" ca="1" si="20"/>
        <v>Transportation</v>
      </c>
      <c r="D188" s="1" t="str">
        <f t="shared" ca="1" si="21"/>
        <v>Global Traders</v>
      </c>
      <c r="E188" s="1">
        <f t="shared" ca="1" si="22"/>
        <v>19552</v>
      </c>
      <c r="F188" s="1">
        <f t="shared" ca="1" si="23"/>
        <v>18</v>
      </c>
      <c r="G188" s="1">
        <f t="shared" ca="1" si="24"/>
        <v>3519.36</v>
      </c>
      <c r="H188" s="1">
        <f t="shared" ca="1" si="25"/>
        <v>23071.360000000001</v>
      </c>
      <c r="I188" s="1" t="str">
        <f t="shared" ca="1" si="26"/>
        <v>CC104</v>
      </c>
    </row>
    <row r="189" spans="1:9" x14ac:dyDescent="0.3">
      <c r="A189" s="2">
        <f t="shared" ca="1" si="18"/>
        <v>44973</v>
      </c>
      <c r="B189" s="1" t="str">
        <f t="shared" ca="1" si="19"/>
        <v>Operations</v>
      </c>
      <c r="C189" s="1" t="str">
        <f t="shared" ca="1" si="20"/>
        <v>Training</v>
      </c>
      <c r="D189" s="1" t="str">
        <f t="shared" ca="1" si="21"/>
        <v>Rapid Transport</v>
      </c>
      <c r="E189" s="1">
        <f t="shared" ca="1" si="22"/>
        <v>4954</v>
      </c>
      <c r="F189" s="1">
        <f t="shared" ca="1" si="23"/>
        <v>5</v>
      </c>
      <c r="G189" s="1">
        <f t="shared" ca="1" si="24"/>
        <v>247.7</v>
      </c>
      <c r="H189" s="1">
        <f t="shared" ca="1" si="25"/>
        <v>5201.7</v>
      </c>
      <c r="I189" s="1" t="str">
        <f t="shared" ca="1" si="26"/>
        <v>CC102</v>
      </c>
    </row>
    <row r="190" spans="1:9" hidden="1" x14ac:dyDescent="0.3">
      <c r="A190" s="2">
        <f t="shared" ca="1" si="18"/>
        <v>45480</v>
      </c>
      <c r="B190" s="1" t="str">
        <f t="shared" ca="1" si="19"/>
        <v>IT</v>
      </c>
      <c r="C190" s="1" t="str">
        <f t="shared" ca="1" si="20"/>
        <v>Marketing Spend</v>
      </c>
      <c r="D190" s="1" t="str">
        <f t="shared" ca="1" si="21"/>
        <v>Skyline Marketing</v>
      </c>
      <c r="E190" s="1">
        <f t="shared" ca="1" si="22"/>
        <v>30299</v>
      </c>
      <c r="F190" s="1">
        <f t="shared" ca="1" si="23"/>
        <v>18</v>
      </c>
      <c r="G190" s="1">
        <f t="shared" ca="1" si="24"/>
        <v>5453.82</v>
      </c>
      <c r="H190" s="1">
        <f t="shared" ca="1" si="25"/>
        <v>35752.82</v>
      </c>
      <c r="I190" s="1" t="str">
        <f t="shared" ca="1" si="26"/>
        <v>CC101</v>
      </c>
    </row>
    <row r="191" spans="1:9" x14ac:dyDescent="0.3">
      <c r="A191" s="2">
        <f t="shared" ca="1" si="18"/>
        <v>45444</v>
      </c>
      <c r="B191" s="1" t="str">
        <f t="shared" ca="1" si="19"/>
        <v>Sales</v>
      </c>
      <c r="C191" s="1" t="str">
        <f t="shared" ca="1" si="20"/>
        <v>Software</v>
      </c>
      <c r="D191" s="1" t="str">
        <f t="shared" ca="1" si="21"/>
        <v>Rapid Transport</v>
      </c>
      <c r="E191" s="1">
        <f t="shared" ca="1" si="22"/>
        <v>8090</v>
      </c>
      <c r="F191" s="1">
        <f t="shared" ca="1" si="23"/>
        <v>5</v>
      </c>
      <c r="G191" s="1">
        <f t="shared" ca="1" si="24"/>
        <v>404.5</v>
      </c>
      <c r="H191" s="1">
        <f t="shared" ca="1" si="25"/>
        <v>8494.5</v>
      </c>
      <c r="I191" s="1" t="str">
        <f t="shared" ca="1" si="26"/>
        <v>CC106</v>
      </c>
    </row>
    <row r="192" spans="1:9" hidden="1" x14ac:dyDescent="0.3">
      <c r="A192" s="2">
        <f t="shared" ca="1" si="18"/>
        <v>45583</v>
      </c>
      <c r="B192" s="1" t="str">
        <f t="shared" ca="1" si="19"/>
        <v>Procurement</v>
      </c>
      <c r="C192" s="1" t="str">
        <f t="shared" ca="1" si="20"/>
        <v>Transportation</v>
      </c>
      <c r="D192" s="1" t="str">
        <f t="shared" ca="1" si="21"/>
        <v>Bright Solutions</v>
      </c>
      <c r="E192" s="1">
        <f t="shared" ca="1" si="22"/>
        <v>32652</v>
      </c>
      <c r="F192" s="1">
        <f t="shared" ca="1" si="23"/>
        <v>12</v>
      </c>
      <c r="G192" s="1">
        <f t="shared" ca="1" si="24"/>
        <v>3918.24</v>
      </c>
      <c r="H192" s="1">
        <f t="shared" ca="1" si="25"/>
        <v>36570.239999999998</v>
      </c>
      <c r="I192" s="1" t="str">
        <f t="shared" ca="1" si="26"/>
        <v>CC102</v>
      </c>
    </row>
    <row r="193" spans="1:9" hidden="1" x14ac:dyDescent="0.3">
      <c r="A193" s="2">
        <f t="shared" ca="1" si="18"/>
        <v>45406</v>
      </c>
      <c r="B193" s="1" t="str">
        <f t="shared" ca="1" si="19"/>
        <v>Marketing</v>
      </c>
      <c r="C193" s="1" t="str">
        <f t="shared" ca="1" si="20"/>
        <v>Salaries</v>
      </c>
      <c r="D193" s="1" t="str">
        <f t="shared" ca="1" si="21"/>
        <v>QuickFix Services</v>
      </c>
      <c r="E193" s="1">
        <f t="shared" ca="1" si="22"/>
        <v>39223</v>
      </c>
      <c r="F193" s="1">
        <f t="shared" ca="1" si="23"/>
        <v>12</v>
      </c>
      <c r="G193" s="1">
        <f t="shared" ca="1" si="24"/>
        <v>4706.76</v>
      </c>
      <c r="H193" s="1">
        <f t="shared" ca="1" si="25"/>
        <v>43929.760000000002</v>
      </c>
      <c r="I193" s="1" t="str">
        <f t="shared" ca="1" si="26"/>
        <v>CC105</v>
      </c>
    </row>
    <row r="194" spans="1:9" hidden="1" x14ac:dyDescent="0.3">
      <c r="A194" s="2">
        <f t="shared" ca="1" si="18"/>
        <v>44930</v>
      </c>
      <c r="B194" s="1" t="str">
        <f t="shared" ca="1" si="19"/>
        <v>Marketing</v>
      </c>
      <c r="C194" s="1" t="str">
        <f t="shared" ca="1" si="20"/>
        <v>Salaries</v>
      </c>
      <c r="D194" s="1" t="str">
        <f t="shared" ca="1" si="21"/>
        <v>Alpha Logistics</v>
      </c>
      <c r="E194" s="1">
        <f t="shared" ca="1" si="22"/>
        <v>40714</v>
      </c>
      <c r="F194" s="1">
        <f t="shared" ca="1" si="23"/>
        <v>12</v>
      </c>
      <c r="G194" s="1">
        <f t="shared" ca="1" si="24"/>
        <v>4885.68</v>
      </c>
      <c r="H194" s="1">
        <f t="shared" ca="1" si="25"/>
        <v>45599.68</v>
      </c>
      <c r="I194" s="1" t="str">
        <f t="shared" ca="1" si="26"/>
        <v>CC105</v>
      </c>
    </row>
    <row r="195" spans="1:9" hidden="1" x14ac:dyDescent="0.3">
      <c r="A195" s="2">
        <f t="shared" ca="1" si="18"/>
        <v>45059</v>
      </c>
      <c r="B195" s="1" t="str">
        <f t="shared" ca="1" si="19"/>
        <v>Sales</v>
      </c>
      <c r="C195" s="1" t="str">
        <f t="shared" ca="1" si="20"/>
        <v>Office Supplies</v>
      </c>
      <c r="D195" s="1" t="str">
        <f t="shared" ca="1" si="21"/>
        <v>Bright Solutions</v>
      </c>
      <c r="E195" s="1">
        <f t="shared" ca="1" si="22"/>
        <v>46742</v>
      </c>
      <c r="F195" s="1">
        <f t="shared" ca="1" si="23"/>
        <v>18</v>
      </c>
      <c r="G195" s="1">
        <f t="shared" ca="1" si="24"/>
        <v>8413.56</v>
      </c>
      <c r="H195" s="1">
        <f t="shared" ca="1" si="25"/>
        <v>55155.56</v>
      </c>
      <c r="I195" s="1" t="str">
        <f t="shared" ca="1" si="26"/>
        <v>CC103</v>
      </c>
    </row>
    <row r="196" spans="1:9" hidden="1" x14ac:dyDescent="0.3">
      <c r="A196" s="2">
        <f t="shared" ref="A196:A259" ca="1" si="27">RANDBETWEEN(DATE(2023,1,1), DATE(2024,12,31))</f>
        <v>45375</v>
      </c>
      <c r="B196" s="1" t="str">
        <f t="shared" ref="B196:B259" ca="1" si="28">CHOOSE(RANDBETWEEN(1,8),"HR","Finance","Operations","IT","Marketing","Sales","Procurement","Admin")</f>
        <v>IT</v>
      </c>
      <c r="C196" s="1" t="str">
        <f t="shared" ref="C196:C259" ca="1" si="29">CHOOSE(RANDBETWEEN(1,10),"Travel","Office Supplies","Salaries","Maintenance","Utilities","Software","Training","Marketing Spend","Transportation","Miscellaneous")</f>
        <v>Marketing Spend</v>
      </c>
      <c r="D196" s="1" t="str">
        <f t="shared" ref="D196:D259" ca="1" si="30">CHOOSE(RANDBETWEEN(1,10),
"Infoserve Pvt Ltd",
"Global Traders",
"Alpha Logistics",
"Bright Solutions",
"Star Technologies",
"Urban Office Mart",
"QuickFix Services",
"Skyline Marketing",
"Rapid Transport",
"Universal Systems")</f>
        <v>Urban Office Mart</v>
      </c>
      <c r="E196" s="1">
        <f t="shared" ref="E196:E259" ca="1" si="31">RANDBETWEEN(500,50000)</f>
        <v>20351</v>
      </c>
      <c r="F196" s="1">
        <f t="shared" ref="F196:F259" ca="1" si="32">CHOOSE(RANDBETWEEN(1,3),5,12,18)</f>
        <v>12</v>
      </c>
      <c r="G196" s="1">
        <f t="shared" ref="G196:G259" ca="1" si="33">E196*F196/100</f>
        <v>2442.12</v>
      </c>
      <c r="H196" s="1">
        <f t="shared" ref="H196:H259" ca="1" si="34">E196+G196</f>
        <v>22793.119999999999</v>
      </c>
      <c r="I196" s="1" t="str">
        <f t="shared" ref="I196:I259" ca="1" si="35">CHOOSE(RANDBETWEEN(1,6),"CC101","CC102","CC103","CC104","CC105","CC106")</f>
        <v>CC105</v>
      </c>
    </row>
    <row r="197" spans="1:9" hidden="1" x14ac:dyDescent="0.3">
      <c r="A197" s="2">
        <f t="shared" ca="1" si="27"/>
        <v>45348</v>
      </c>
      <c r="B197" s="1" t="str">
        <f t="shared" ca="1" si="28"/>
        <v>Admin</v>
      </c>
      <c r="C197" s="1" t="str">
        <f t="shared" ca="1" si="29"/>
        <v>Transportation</v>
      </c>
      <c r="D197" s="1" t="str">
        <f t="shared" ca="1" si="30"/>
        <v>Global Traders</v>
      </c>
      <c r="E197" s="1">
        <f t="shared" ca="1" si="31"/>
        <v>45951</v>
      </c>
      <c r="F197" s="1">
        <f t="shared" ca="1" si="32"/>
        <v>18</v>
      </c>
      <c r="G197" s="1">
        <f t="shared" ca="1" si="33"/>
        <v>8271.18</v>
      </c>
      <c r="H197" s="1">
        <f t="shared" ca="1" si="34"/>
        <v>54222.18</v>
      </c>
      <c r="I197" s="1" t="str">
        <f t="shared" ca="1" si="35"/>
        <v>CC104</v>
      </c>
    </row>
    <row r="198" spans="1:9" hidden="1" x14ac:dyDescent="0.3">
      <c r="A198" s="2">
        <f t="shared" ca="1" si="27"/>
        <v>45079</v>
      </c>
      <c r="B198" s="1" t="str">
        <f t="shared" ca="1" si="28"/>
        <v>HR</v>
      </c>
      <c r="C198" s="1" t="str">
        <f t="shared" ca="1" si="29"/>
        <v>Transportation</v>
      </c>
      <c r="D198" s="1" t="str">
        <f t="shared" ca="1" si="30"/>
        <v>Global Traders</v>
      </c>
      <c r="E198" s="1">
        <f t="shared" ca="1" si="31"/>
        <v>32843</v>
      </c>
      <c r="F198" s="1">
        <f t="shared" ca="1" si="32"/>
        <v>12</v>
      </c>
      <c r="G198" s="1">
        <f t="shared" ca="1" si="33"/>
        <v>3941.16</v>
      </c>
      <c r="H198" s="1">
        <f t="shared" ca="1" si="34"/>
        <v>36784.160000000003</v>
      </c>
      <c r="I198" s="1" t="str">
        <f t="shared" ca="1" si="35"/>
        <v>CC105</v>
      </c>
    </row>
    <row r="199" spans="1:9" x14ac:dyDescent="0.3">
      <c r="A199" s="2">
        <f t="shared" ca="1" si="27"/>
        <v>45267</v>
      </c>
      <c r="B199" s="1" t="str">
        <f t="shared" ca="1" si="28"/>
        <v>Finance</v>
      </c>
      <c r="C199" s="1" t="str">
        <f t="shared" ca="1" si="29"/>
        <v>Office Supplies</v>
      </c>
      <c r="D199" s="1" t="str">
        <f t="shared" ca="1" si="30"/>
        <v>Urban Office Mart</v>
      </c>
      <c r="E199" s="1">
        <f t="shared" ca="1" si="31"/>
        <v>32269</v>
      </c>
      <c r="F199" s="1">
        <f t="shared" ca="1" si="32"/>
        <v>5</v>
      </c>
      <c r="G199" s="1">
        <f t="shared" ca="1" si="33"/>
        <v>1613.45</v>
      </c>
      <c r="H199" s="1">
        <f t="shared" ca="1" si="34"/>
        <v>33882.449999999997</v>
      </c>
      <c r="I199" s="1" t="str">
        <f t="shared" ca="1" si="35"/>
        <v>CC102</v>
      </c>
    </row>
    <row r="200" spans="1:9" x14ac:dyDescent="0.3">
      <c r="A200" s="2">
        <f t="shared" ca="1" si="27"/>
        <v>44973</v>
      </c>
      <c r="B200" s="1" t="str">
        <f t="shared" ca="1" si="28"/>
        <v>Procurement</v>
      </c>
      <c r="C200" s="1" t="str">
        <f t="shared" ca="1" si="29"/>
        <v>Transportation</v>
      </c>
      <c r="D200" s="1" t="str">
        <f t="shared" ca="1" si="30"/>
        <v>Alpha Logistics</v>
      </c>
      <c r="E200" s="1">
        <f t="shared" ca="1" si="31"/>
        <v>33025</v>
      </c>
      <c r="F200" s="1">
        <f t="shared" ca="1" si="32"/>
        <v>5</v>
      </c>
      <c r="G200" s="1">
        <f t="shared" ca="1" si="33"/>
        <v>1651.25</v>
      </c>
      <c r="H200" s="1">
        <f t="shared" ca="1" si="34"/>
        <v>34676.25</v>
      </c>
      <c r="I200" s="1" t="str">
        <f t="shared" ca="1" si="35"/>
        <v>CC106</v>
      </c>
    </row>
    <row r="201" spans="1:9" x14ac:dyDescent="0.3">
      <c r="A201" s="2">
        <f t="shared" ca="1" si="27"/>
        <v>45567</v>
      </c>
      <c r="B201" s="1" t="str">
        <f t="shared" ca="1" si="28"/>
        <v>IT</v>
      </c>
      <c r="C201" s="1" t="str">
        <f t="shared" ca="1" si="29"/>
        <v>Utilities</v>
      </c>
      <c r="D201" s="1" t="str">
        <f t="shared" ca="1" si="30"/>
        <v>Alpha Logistics</v>
      </c>
      <c r="E201" s="1">
        <f t="shared" ca="1" si="31"/>
        <v>38750</v>
      </c>
      <c r="F201" s="1">
        <f t="shared" ca="1" si="32"/>
        <v>5</v>
      </c>
      <c r="G201" s="1">
        <f t="shared" ca="1" si="33"/>
        <v>1937.5</v>
      </c>
      <c r="H201" s="1">
        <f t="shared" ca="1" si="34"/>
        <v>40687.5</v>
      </c>
      <c r="I201" s="1" t="str">
        <f t="shared" ca="1" si="35"/>
        <v>CC106</v>
      </c>
    </row>
    <row r="202" spans="1:9" hidden="1" x14ac:dyDescent="0.3">
      <c r="A202" s="2">
        <f t="shared" ca="1" si="27"/>
        <v>45506</v>
      </c>
      <c r="B202" s="1" t="str">
        <f t="shared" ca="1" si="28"/>
        <v>IT</v>
      </c>
      <c r="C202" s="1" t="str">
        <f t="shared" ca="1" si="29"/>
        <v>Training</v>
      </c>
      <c r="D202" s="1" t="str">
        <f t="shared" ca="1" si="30"/>
        <v>Urban Office Mart</v>
      </c>
      <c r="E202" s="1">
        <f t="shared" ca="1" si="31"/>
        <v>39445</v>
      </c>
      <c r="F202" s="1">
        <f t="shared" ca="1" si="32"/>
        <v>12</v>
      </c>
      <c r="G202" s="1">
        <f t="shared" ca="1" si="33"/>
        <v>4733.3999999999996</v>
      </c>
      <c r="H202" s="1">
        <f t="shared" ca="1" si="34"/>
        <v>44178.400000000001</v>
      </c>
      <c r="I202" s="1" t="str">
        <f t="shared" ca="1" si="35"/>
        <v>CC102</v>
      </c>
    </row>
    <row r="203" spans="1:9" hidden="1" x14ac:dyDescent="0.3">
      <c r="A203" s="2">
        <f t="shared" ca="1" si="27"/>
        <v>45439</v>
      </c>
      <c r="B203" s="1" t="str">
        <f t="shared" ca="1" si="28"/>
        <v>Sales</v>
      </c>
      <c r="C203" s="1" t="str">
        <f t="shared" ca="1" si="29"/>
        <v>Miscellaneous</v>
      </c>
      <c r="D203" s="1" t="str">
        <f t="shared" ca="1" si="30"/>
        <v>Skyline Marketing</v>
      </c>
      <c r="E203" s="1">
        <f t="shared" ca="1" si="31"/>
        <v>23138</v>
      </c>
      <c r="F203" s="1">
        <f t="shared" ca="1" si="32"/>
        <v>12</v>
      </c>
      <c r="G203" s="1">
        <f t="shared" ca="1" si="33"/>
        <v>2776.56</v>
      </c>
      <c r="H203" s="1">
        <f t="shared" ca="1" si="34"/>
        <v>25914.560000000001</v>
      </c>
      <c r="I203" s="1" t="str">
        <f t="shared" ca="1" si="35"/>
        <v>CC106</v>
      </c>
    </row>
    <row r="204" spans="1:9" x14ac:dyDescent="0.3">
      <c r="A204" s="2">
        <f t="shared" ca="1" si="27"/>
        <v>45590</v>
      </c>
      <c r="B204" s="1" t="str">
        <f t="shared" ca="1" si="28"/>
        <v>Admin</v>
      </c>
      <c r="C204" s="1" t="str">
        <f t="shared" ca="1" si="29"/>
        <v>Utilities</v>
      </c>
      <c r="D204" s="1" t="str">
        <f t="shared" ca="1" si="30"/>
        <v>Universal Systems</v>
      </c>
      <c r="E204" s="1">
        <f t="shared" ca="1" si="31"/>
        <v>10957</v>
      </c>
      <c r="F204" s="1">
        <f t="shared" ca="1" si="32"/>
        <v>5</v>
      </c>
      <c r="G204" s="1">
        <f t="shared" ca="1" si="33"/>
        <v>547.85</v>
      </c>
      <c r="H204" s="1">
        <f t="shared" ca="1" si="34"/>
        <v>11504.85</v>
      </c>
      <c r="I204" s="1" t="str">
        <f t="shared" ca="1" si="35"/>
        <v>CC101</v>
      </c>
    </row>
    <row r="205" spans="1:9" x14ac:dyDescent="0.3">
      <c r="A205" s="2">
        <f t="shared" ca="1" si="27"/>
        <v>45030</v>
      </c>
      <c r="B205" s="1" t="str">
        <f t="shared" ca="1" si="28"/>
        <v>Operations</v>
      </c>
      <c r="C205" s="1" t="str">
        <f t="shared" ca="1" si="29"/>
        <v>Software</v>
      </c>
      <c r="D205" s="1" t="str">
        <f t="shared" ca="1" si="30"/>
        <v>Skyline Marketing</v>
      </c>
      <c r="E205" s="1">
        <f t="shared" ca="1" si="31"/>
        <v>38004</v>
      </c>
      <c r="F205" s="1">
        <f t="shared" ca="1" si="32"/>
        <v>5</v>
      </c>
      <c r="G205" s="1">
        <f t="shared" ca="1" si="33"/>
        <v>1900.2</v>
      </c>
      <c r="H205" s="1">
        <f t="shared" ca="1" si="34"/>
        <v>39904.199999999997</v>
      </c>
      <c r="I205" s="1" t="str">
        <f t="shared" ca="1" si="35"/>
        <v>CC101</v>
      </c>
    </row>
    <row r="206" spans="1:9" hidden="1" x14ac:dyDescent="0.3">
      <c r="A206" s="2">
        <f t="shared" ca="1" si="27"/>
        <v>45605</v>
      </c>
      <c r="B206" s="1" t="str">
        <f t="shared" ca="1" si="28"/>
        <v>Sales</v>
      </c>
      <c r="C206" s="1" t="str">
        <f t="shared" ca="1" si="29"/>
        <v>Miscellaneous</v>
      </c>
      <c r="D206" s="1" t="str">
        <f t="shared" ca="1" si="30"/>
        <v>Global Traders</v>
      </c>
      <c r="E206" s="1">
        <f t="shared" ca="1" si="31"/>
        <v>48039</v>
      </c>
      <c r="F206" s="1">
        <f t="shared" ca="1" si="32"/>
        <v>5</v>
      </c>
      <c r="G206" s="1">
        <f t="shared" ca="1" si="33"/>
        <v>2401.9499999999998</v>
      </c>
      <c r="H206" s="1">
        <f t="shared" ca="1" si="34"/>
        <v>50440.95</v>
      </c>
      <c r="I206" s="1" t="str">
        <f t="shared" ca="1" si="35"/>
        <v>CC105</v>
      </c>
    </row>
    <row r="207" spans="1:9" hidden="1" x14ac:dyDescent="0.3">
      <c r="A207" s="2">
        <f t="shared" ca="1" si="27"/>
        <v>45263</v>
      </c>
      <c r="B207" s="1" t="str">
        <f t="shared" ca="1" si="28"/>
        <v>IT</v>
      </c>
      <c r="C207" s="1" t="str">
        <f t="shared" ca="1" si="29"/>
        <v>Maintenance</v>
      </c>
      <c r="D207" s="1" t="str">
        <f t="shared" ca="1" si="30"/>
        <v>QuickFix Services</v>
      </c>
      <c r="E207" s="1">
        <f t="shared" ca="1" si="31"/>
        <v>20654</v>
      </c>
      <c r="F207" s="1">
        <f t="shared" ca="1" si="32"/>
        <v>12</v>
      </c>
      <c r="G207" s="1">
        <f t="shared" ca="1" si="33"/>
        <v>2478.48</v>
      </c>
      <c r="H207" s="1">
        <f t="shared" ca="1" si="34"/>
        <v>23132.48</v>
      </c>
      <c r="I207" s="1" t="str">
        <f t="shared" ca="1" si="35"/>
        <v>CC104</v>
      </c>
    </row>
    <row r="208" spans="1:9" hidden="1" x14ac:dyDescent="0.3">
      <c r="A208" s="2">
        <f t="shared" ca="1" si="27"/>
        <v>45575</v>
      </c>
      <c r="B208" s="1" t="str">
        <f t="shared" ca="1" si="28"/>
        <v>Sales</v>
      </c>
      <c r="C208" s="1" t="str">
        <f t="shared" ca="1" si="29"/>
        <v>Software</v>
      </c>
      <c r="D208" s="1" t="str">
        <f t="shared" ca="1" si="30"/>
        <v>Universal Systems</v>
      </c>
      <c r="E208" s="1">
        <f t="shared" ca="1" si="31"/>
        <v>29869</v>
      </c>
      <c r="F208" s="1">
        <f t="shared" ca="1" si="32"/>
        <v>12</v>
      </c>
      <c r="G208" s="1">
        <f t="shared" ca="1" si="33"/>
        <v>3584.28</v>
      </c>
      <c r="H208" s="1">
        <f t="shared" ca="1" si="34"/>
        <v>33453.279999999999</v>
      </c>
      <c r="I208" s="1" t="str">
        <f t="shared" ca="1" si="35"/>
        <v>CC101</v>
      </c>
    </row>
    <row r="209" spans="1:9" x14ac:dyDescent="0.3">
      <c r="A209" s="2">
        <f t="shared" ca="1" si="27"/>
        <v>45247</v>
      </c>
      <c r="B209" s="1" t="str">
        <f t="shared" ca="1" si="28"/>
        <v>Finance</v>
      </c>
      <c r="C209" s="1" t="str">
        <f t="shared" ca="1" si="29"/>
        <v>Maintenance</v>
      </c>
      <c r="D209" s="1" t="str">
        <f t="shared" ca="1" si="30"/>
        <v>Alpha Logistics</v>
      </c>
      <c r="E209" s="1">
        <f t="shared" ca="1" si="31"/>
        <v>14718</v>
      </c>
      <c r="F209" s="1">
        <f t="shared" ca="1" si="32"/>
        <v>18</v>
      </c>
      <c r="G209" s="1">
        <f t="shared" ca="1" si="33"/>
        <v>2649.24</v>
      </c>
      <c r="H209" s="1">
        <f t="shared" ca="1" si="34"/>
        <v>17367.239999999998</v>
      </c>
      <c r="I209" s="1" t="str">
        <f t="shared" ca="1" si="35"/>
        <v>CC106</v>
      </c>
    </row>
    <row r="210" spans="1:9" x14ac:dyDescent="0.3">
      <c r="A210" s="2">
        <f t="shared" ca="1" si="27"/>
        <v>45600</v>
      </c>
      <c r="B210" s="1" t="str">
        <f t="shared" ca="1" si="28"/>
        <v>Sales</v>
      </c>
      <c r="C210" s="1" t="str">
        <f t="shared" ca="1" si="29"/>
        <v>Travel</v>
      </c>
      <c r="D210" s="1" t="str">
        <f t="shared" ca="1" si="30"/>
        <v>Alpha Logistics</v>
      </c>
      <c r="E210" s="1">
        <f t="shared" ca="1" si="31"/>
        <v>6287</v>
      </c>
      <c r="F210" s="1">
        <f t="shared" ca="1" si="32"/>
        <v>12</v>
      </c>
      <c r="G210" s="1">
        <f t="shared" ca="1" si="33"/>
        <v>754.44</v>
      </c>
      <c r="H210" s="1">
        <f t="shared" ca="1" si="34"/>
        <v>7041.4400000000005</v>
      </c>
      <c r="I210" s="1" t="str">
        <f t="shared" ca="1" si="35"/>
        <v>CC103</v>
      </c>
    </row>
    <row r="211" spans="1:9" x14ac:dyDescent="0.3">
      <c r="A211" s="2">
        <f t="shared" ca="1" si="27"/>
        <v>45088</v>
      </c>
      <c r="B211" s="1" t="str">
        <f t="shared" ca="1" si="28"/>
        <v>Procurement</v>
      </c>
      <c r="C211" s="1" t="str">
        <f t="shared" ca="1" si="29"/>
        <v>Training</v>
      </c>
      <c r="D211" s="1" t="str">
        <f t="shared" ca="1" si="30"/>
        <v>Urban Office Mart</v>
      </c>
      <c r="E211" s="1">
        <f t="shared" ca="1" si="31"/>
        <v>35271</v>
      </c>
      <c r="F211" s="1">
        <f t="shared" ca="1" si="32"/>
        <v>12</v>
      </c>
      <c r="G211" s="1">
        <f t="shared" ca="1" si="33"/>
        <v>4232.5200000000004</v>
      </c>
      <c r="H211" s="1">
        <f t="shared" ca="1" si="34"/>
        <v>39503.520000000004</v>
      </c>
      <c r="I211" s="1" t="str">
        <f t="shared" ca="1" si="35"/>
        <v>CC105</v>
      </c>
    </row>
    <row r="212" spans="1:9" x14ac:dyDescent="0.3">
      <c r="A212" s="2">
        <f t="shared" ca="1" si="27"/>
        <v>45607</v>
      </c>
      <c r="B212" s="1" t="str">
        <f t="shared" ca="1" si="28"/>
        <v>Marketing</v>
      </c>
      <c r="C212" s="1" t="str">
        <f t="shared" ca="1" si="29"/>
        <v>Training</v>
      </c>
      <c r="D212" s="1" t="str">
        <f t="shared" ca="1" si="30"/>
        <v>Skyline Marketing</v>
      </c>
      <c r="E212" s="1">
        <f t="shared" ca="1" si="31"/>
        <v>36640</v>
      </c>
      <c r="F212" s="1">
        <f t="shared" ca="1" si="32"/>
        <v>5</v>
      </c>
      <c r="G212" s="1">
        <f t="shared" ca="1" si="33"/>
        <v>1832</v>
      </c>
      <c r="H212" s="1">
        <f t="shared" ca="1" si="34"/>
        <v>38472</v>
      </c>
      <c r="I212" s="1" t="str">
        <f t="shared" ca="1" si="35"/>
        <v>CC103</v>
      </c>
    </row>
    <row r="213" spans="1:9" hidden="1" x14ac:dyDescent="0.3">
      <c r="A213" s="2">
        <f t="shared" ca="1" si="27"/>
        <v>45622</v>
      </c>
      <c r="B213" s="1" t="str">
        <f t="shared" ca="1" si="28"/>
        <v>Operations</v>
      </c>
      <c r="C213" s="1" t="str">
        <f t="shared" ca="1" si="29"/>
        <v>Miscellaneous</v>
      </c>
      <c r="D213" s="1" t="str">
        <f t="shared" ca="1" si="30"/>
        <v>Infoserve Pvt Ltd</v>
      </c>
      <c r="E213" s="1">
        <f t="shared" ca="1" si="31"/>
        <v>17034</v>
      </c>
      <c r="F213" s="1">
        <f t="shared" ca="1" si="32"/>
        <v>5</v>
      </c>
      <c r="G213" s="1">
        <f t="shared" ca="1" si="33"/>
        <v>851.7</v>
      </c>
      <c r="H213" s="1">
        <f t="shared" ca="1" si="34"/>
        <v>17885.7</v>
      </c>
      <c r="I213" s="1" t="str">
        <f t="shared" ca="1" si="35"/>
        <v>CC106</v>
      </c>
    </row>
    <row r="214" spans="1:9" hidden="1" x14ac:dyDescent="0.3">
      <c r="A214" s="2">
        <f t="shared" ca="1" si="27"/>
        <v>45523</v>
      </c>
      <c r="B214" s="1" t="str">
        <f t="shared" ca="1" si="28"/>
        <v>Procurement</v>
      </c>
      <c r="C214" s="1" t="str">
        <f t="shared" ca="1" si="29"/>
        <v>Travel</v>
      </c>
      <c r="D214" s="1" t="str">
        <f t="shared" ca="1" si="30"/>
        <v>Star Technologies</v>
      </c>
      <c r="E214" s="1">
        <f t="shared" ca="1" si="31"/>
        <v>13233</v>
      </c>
      <c r="F214" s="1">
        <f t="shared" ca="1" si="32"/>
        <v>12</v>
      </c>
      <c r="G214" s="1">
        <f t="shared" ca="1" si="33"/>
        <v>1587.96</v>
      </c>
      <c r="H214" s="1">
        <f t="shared" ca="1" si="34"/>
        <v>14820.96</v>
      </c>
      <c r="I214" s="1" t="str">
        <f t="shared" ca="1" si="35"/>
        <v>CC102</v>
      </c>
    </row>
    <row r="215" spans="1:9" x14ac:dyDescent="0.3">
      <c r="A215" s="2">
        <f t="shared" ca="1" si="27"/>
        <v>45318</v>
      </c>
      <c r="B215" s="1" t="str">
        <f t="shared" ca="1" si="28"/>
        <v>Admin</v>
      </c>
      <c r="C215" s="1" t="str">
        <f t="shared" ca="1" si="29"/>
        <v>Transportation</v>
      </c>
      <c r="D215" s="1" t="str">
        <f t="shared" ca="1" si="30"/>
        <v>Urban Office Mart</v>
      </c>
      <c r="E215" s="1">
        <f t="shared" ca="1" si="31"/>
        <v>5858</v>
      </c>
      <c r="F215" s="1">
        <f t="shared" ca="1" si="32"/>
        <v>12</v>
      </c>
      <c r="G215" s="1">
        <f t="shared" ca="1" si="33"/>
        <v>702.96</v>
      </c>
      <c r="H215" s="1">
        <f t="shared" ca="1" si="34"/>
        <v>6560.96</v>
      </c>
      <c r="I215" s="1" t="str">
        <f t="shared" ca="1" si="35"/>
        <v>CC104</v>
      </c>
    </row>
    <row r="216" spans="1:9" x14ac:dyDescent="0.3">
      <c r="A216" s="2">
        <f t="shared" ca="1" si="27"/>
        <v>45016</v>
      </c>
      <c r="B216" s="1" t="str">
        <f t="shared" ca="1" si="28"/>
        <v>Admin</v>
      </c>
      <c r="C216" s="1" t="str">
        <f t="shared" ca="1" si="29"/>
        <v>Utilities</v>
      </c>
      <c r="D216" s="1" t="str">
        <f t="shared" ca="1" si="30"/>
        <v>Bright Solutions</v>
      </c>
      <c r="E216" s="1">
        <f t="shared" ca="1" si="31"/>
        <v>22925</v>
      </c>
      <c r="F216" s="1">
        <f t="shared" ca="1" si="32"/>
        <v>5</v>
      </c>
      <c r="G216" s="1">
        <f t="shared" ca="1" si="33"/>
        <v>1146.25</v>
      </c>
      <c r="H216" s="1">
        <f t="shared" ca="1" si="34"/>
        <v>24071.25</v>
      </c>
      <c r="I216" s="1" t="str">
        <f t="shared" ca="1" si="35"/>
        <v>CC104</v>
      </c>
    </row>
    <row r="217" spans="1:9" hidden="1" x14ac:dyDescent="0.3">
      <c r="A217" s="2">
        <f t="shared" ca="1" si="27"/>
        <v>45621</v>
      </c>
      <c r="B217" s="1" t="str">
        <f t="shared" ca="1" si="28"/>
        <v>Procurement</v>
      </c>
      <c r="C217" s="1" t="str">
        <f t="shared" ca="1" si="29"/>
        <v>Training</v>
      </c>
      <c r="D217" s="1" t="str">
        <f t="shared" ca="1" si="30"/>
        <v>Skyline Marketing</v>
      </c>
      <c r="E217" s="1">
        <f t="shared" ca="1" si="31"/>
        <v>22715</v>
      </c>
      <c r="F217" s="1">
        <f t="shared" ca="1" si="32"/>
        <v>5</v>
      </c>
      <c r="G217" s="1">
        <f t="shared" ca="1" si="33"/>
        <v>1135.75</v>
      </c>
      <c r="H217" s="1">
        <f t="shared" ca="1" si="34"/>
        <v>23850.75</v>
      </c>
      <c r="I217" s="1" t="str">
        <f t="shared" ca="1" si="35"/>
        <v>CC102</v>
      </c>
    </row>
    <row r="218" spans="1:9" hidden="1" x14ac:dyDescent="0.3">
      <c r="A218" s="2">
        <f t="shared" ca="1" si="27"/>
        <v>44965</v>
      </c>
      <c r="B218" s="1" t="str">
        <f t="shared" ca="1" si="28"/>
        <v>Admin</v>
      </c>
      <c r="C218" s="1" t="str">
        <f t="shared" ca="1" si="29"/>
        <v>Maintenance</v>
      </c>
      <c r="D218" s="1" t="str">
        <f t="shared" ca="1" si="30"/>
        <v>Bright Solutions</v>
      </c>
      <c r="E218" s="1">
        <f t="shared" ca="1" si="31"/>
        <v>11832</v>
      </c>
      <c r="F218" s="1">
        <f t="shared" ca="1" si="32"/>
        <v>5</v>
      </c>
      <c r="G218" s="1">
        <f t="shared" ca="1" si="33"/>
        <v>591.6</v>
      </c>
      <c r="H218" s="1">
        <f t="shared" ca="1" si="34"/>
        <v>12423.6</v>
      </c>
      <c r="I218" s="1" t="str">
        <f t="shared" ca="1" si="35"/>
        <v>CC105</v>
      </c>
    </row>
    <row r="219" spans="1:9" x14ac:dyDescent="0.3">
      <c r="A219" s="2">
        <f t="shared" ca="1" si="27"/>
        <v>45186</v>
      </c>
      <c r="B219" s="1" t="str">
        <f t="shared" ca="1" si="28"/>
        <v>Operations</v>
      </c>
      <c r="C219" s="1" t="str">
        <f t="shared" ca="1" si="29"/>
        <v>Travel</v>
      </c>
      <c r="D219" s="1" t="str">
        <f t="shared" ca="1" si="30"/>
        <v>Skyline Marketing</v>
      </c>
      <c r="E219" s="1">
        <f t="shared" ca="1" si="31"/>
        <v>517</v>
      </c>
      <c r="F219" s="1">
        <f t="shared" ca="1" si="32"/>
        <v>5</v>
      </c>
      <c r="G219" s="1">
        <f t="shared" ca="1" si="33"/>
        <v>25.85</v>
      </c>
      <c r="H219" s="1">
        <f t="shared" ca="1" si="34"/>
        <v>542.85</v>
      </c>
      <c r="I219" s="1" t="str">
        <f t="shared" ca="1" si="35"/>
        <v>CC105</v>
      </c>
    </row>
    <row r="220" spans="1:9" x14ac:dyDescent="0.3">
      <c r="A220" s="2">
        <f t="shared" ca="1" si="27"/>
        <v>45015</v>
      </c>
      <c r="B220" s="1" t="str">
        <f t="shared" ca="1" si="28"/>
        <v>HR</v>
      </c>
      <c r="C220" s="1" t="str">
        <f t="shared" ca="1" si="29"/>
        <v>Maintenance</v>
      </c>
      <c r="D220" s="1" t="str">
        <f t="shared" ca="1" si="30"/>
        <v>Bright Solutions</v>
      </c>
      <c r="E220" s="1">
        <f t="shared" ca="1" si="31"/>
        <v>11014</v>
      </c>
      <c r="F220" s="1">
        <f t="shared" ca="1" si="32"/>
        <v>5</v>
      </c>
      <c r="G220" s="1">
        <f t="shared" ca="1" si="33"/>
        <v>550.70000000000005</v>
      </c>
      <c r="H220" s="1">
        <f t="shared" ca="1" si="34"/>
        <v>11564.7</v>
      </c>
      <c r="I220" s="1" t="str">
        <f t="shared" ca="1" si="35"/>
        <v>CC102</v>
      </c>
    </row>
    <row r="221" spans="1:9" hidden="1" x14ac:dyDescent="0.3">
      <c r="A221" s="2">
        <f t="shared" ca="1" si="27"/>
        <v>45015</v>
      </c>
      <c r="B221" s="1" t="str">
        <f t="shared" ca="1" si="28"/>
        <v>Operations</v>
      </c>
      <c r="C221" s="1" t="str">
        <f t="shared" ca="1" si="29"/>
        <v>Transportation</v>
      </c>
      <c r="D221" s="1" t="str">
        <f t="shared" ca="1" si="30"/>
        <v>Universal Systems</v>
      </c>
      <c r="E221" s="1">
        <f t="shared" ca="1" si="31"/>
        <v>46019</v>
      </c>
      <c r="F221" s="1">
        <f t="shared" ca="1" si="32"/>
        <v>12</v>
      </c>
      <c r="G221" s="1">
        <f t="shared" ca="1" si="33"/>
        <v>5522.28</v>
      </c>
      <c r="H221" s="1">
        <f t="shared" ca="1" si="34"/>
        <v>51541.279999999999</v>
      </c>
      <c r="I221" s="1" t="str">
        <f t="shared" ca="1" si="35"/>
        <v>CC105</v>
      </c>
    </row>
    <row r="222" spans="1:9" x14ac:dyDescent="0.3">
      <c r="A222" s="2">
        <f t="shared" ca="1" si="27"/>
        <v>45204</v>
      </c>
      <c r="B222" s="1" t="str">
        <f t="shared" ca="1" si="28"/>
        <v>IT</v>
      </c>
      <c r="C222" s="1" t="str">
        <f t="shared" ca="1" si="29"/>
        <v>Utilities</v>
      </c>
      <c r="D222" s="1" t="str">
        <f t="shared" ca="1" si="30"/>
        <v>Star Technologies</v>
      </c>
      <c r="E222" s="1">
        <f t="shared" ca="1" si="31"/>
        <v>12773</v>
      </c>
      <c r="F222" s="1">
        <f t="shared" ca="1" si="32"/>
        <v>18</v>
      </c>
      <c r="G222" s="1">
        <f t="shared" ca="1" si="33"/>
        <v>2299.14</v>
      </c>
      <c r="H222" s="1">
        <f t="shared" ca="1" si="34"/>
        <v>15072.14</v>
      </c>
      <c r="I222" s="1" t="str">
        <f t="shared" ca="1" si="35"/>
        <v>CC106</v>
      </c>
    </row>
    <row r="223" spans="1:9" hidden="1" x14ac:dyDescent="0.3">
      <c r="A223" s="2">
        <f t="shared" ca="1" si="27"/>
        <v>45334</v>
      </c>
      <c r="B223" s="1" t="str">
        <f t="shared" ca="1" si="28"/>
        <v>Marketing</v>
      </c>
      <c r="C223" s="1" t="str">
        <f t="shared" ca="1" si="29"/>
        <v>Miscellaneous</v>
      </c>
      <c r="D223" s="1" t="str">
        <f t="shared" ca="1" si="30"/>
        <v>Rapid Transport</v>
      </c>
      <c r="E223" s="1">
        <f t="shared" ca="1" si="31"/>
        <v>39118</v>
      </c>
      <c r="F223" s="1">
        <f t="shared" ca="1" si="32"/>
        <v>5</v>
      </c>
      <c r="G223" s="1">
        <f t="shared" ca="1" si="33"/>
        <v>1955.9</v>
      </c>
      <c r="H223" s="1">
        <f t="shared" ca="1" si="34"/>
        <v>41073.9</v>
      </c>
      <c r="I223" s="1" t="str">
        <f t="shared" ca="1" si="35"/>
        <v>CC101</v>
      </c>
    </row>
    <row r="224" spans="1:9" hidden="1" x14ac:dyDescent="0.3">
      <c r="A224" s="2">
        <f t="shared" ca="1" si="27"/>
        <v>45564</v>
      </c>
      <c r="B224" s="1" t="str">
        <f t="shared" ca="1" si="28"/>
        <v>IT</v>
      </c>
      <c r="C224" s="1" t="str">
        <f t="shared" ca="1" si="29"/>
        <v>Travel</v>
      </c>
      <c r="D224" s="1" t="str">
        <f t="shared" ca="1" si="30"/>
        <v>Universal Systems</v>
      </c>
      <c r="E224" s="1">
        <f t="shared" ca="1" si="31"/>
        <v>11100</v>
      </c>
      <c r="F224" s="1">
        <f t="shared" ca="1" si="32"/>
        <v>12</v>
      </c>
      <c r="G224" s="1">
        <f t="shared" ca="1" si="33"/>
        <v>1332</v>
      </c>
      <c r="H224" s="1">
        <f t="shared" ca="1" si="34"/>
        <v>12432</v>
      </c>
      <c r="I224" s="1" t="str">
        <f t="shared" ca="1" si="35"/>
        <v>CC104</v>
      </c>
    </row>
    <row r="225" spans="1:9" x14ac:dyDescent="0.3">
      <c r="A225" s="2">
        <f t="shared" ca="1" si="27"/>
        <v>45558</v>
      </c>
      <c r="B225" s="1" t="str">
        <f t="shared" ca="1" si="28"/>
        <v>IT</v>
      </c>
      <c r="C225" s="1" t="str">
        <f t="shared" ca="1" si="29"/>
        <v>Utilities</v>
      </c>
      <c r="D225" s="1" t="str">
        <f t="shared" ca="1" si="30"/>
        <v>Universal Systems</v>
      </c>
      <c r="E225" s="1">
        <f t="shared" ca="1" si="31"/>
        <v>33563</v>
      </c>
      <c r="F225" s="1">
        <f t="shared" ca="1" si="32"/>
        <v>18</v>
      </c>
      <c r="G225" s="1">
        <f t="shared" ca="1" si="33"/>
        <v>6041.34</v>
      </c>
      <c r="H225" s="1">
        <f t="shared" ca="1" si="34"/>
        <v>39604.339999999997</v>
      </c>
      <c r="I225" s="1" t="str">
        <f t="shared" ca="1" si="35"/>
        <v>CC105</v>
      </c>
    </row>
    <row r="226" spans="1:9" x14ac:dyDescent="0.3">
      <c r="A226" s="2">
        <f t="shared" ca="1" si="27"/>
        <v>45250</v>
      </c>
      <c r="B226" s="1" t="str">
        <f t="shared" ca="1" si="28"/>
        <v>Marketing</v>
      </c>
      <c r="C226" s="1" t="str">
        <f t="shared" ca="1" si="29"/>
        <v>Transportation</v>
      </c>
      <c r="D226" s="1" t="str">
        <f t="shared" ca="1" si="30"/>
        <v>Urban Office Mart</v>
      </c>
      <c r="E226" s="1">
        <f t="shared" ca="1" si="31"/>
        <v>44763</v>
      </c>
      <c r="F226" s="1">
        <f t="shared" ca="1" si="32"/>
        <v>18</v>
      </c>
      <c r="G226" s="1">
        <f t="shared" ca="1" si="33"/>
        <v>8057.34</v>
      </c>
      <c r="H226" s="1">
        <f t="shared" ca="1" si="34"/>
        <v>52820.34</v>
      </c>
      <c r="I226" s="1" t="str">
        <f t="shared" ca="1" si="35"/>
        <v>CC106</v>
      </c>
    </row>
    <row r="227" spans="1:9" x14ac:dyDescent="0.3">
      <c r="A227" s="2">
        <f t="shared" ca="1" si="27"/>
        <v>45371</v>
      </c>
      <c r="B227" s="1" t="str">
        <f t="shared" ca="1" si="28"/>
        <v>Sales</v>
      </c>
      <c r="C227" s="1" t="str">
        <f t="shared" ca="1" si="29"/>
        <v>Maintenance</v>
      </c>
      <c r="D227" s="1" t="str">
        <f t="shared" ca="1" si="30"/>
        <v>Star Technologies</v>
      </c>
      <c r="E227" s="1">
        <f t="shared" ca="1" si="31"/>
        <v>26469</v>
      </c>
      <c r="F227" s="1">
        <f t="shared" ca="1" si="32"/>
        <v>5</v>
      </c>
      <c r="G227" s="1">
        <f t="shared" ca="1" si="33"/>
        <v>1323.45</v>
      </c>
      <c r="H227" s="1">
        <f t="shared" ca="1" si="34"/>
        <v>27792.45</v>
      </c>
      <c r="I227" s="1" t="str">
        <f t="shared" ca="1" si="35"/>
        <v>CC106</v>
      </c>
    </row>
    <row r="228" spans="1:9" hidden="1" x14ac:dyDescent="0.3">
      <c r="A228" s="2">
        <f t="shared" ca="1" si="27"/>
        <v>45367</v>
      </c>
      <c r="B228" s="1" t="str">
        <f t="shared" ca="1" si="28"/>
        <v>Sales</v>
      </c>
      <c r="C228" s="1" t="str">
        <f t="shared" ca="1" si="29"/>
        <v>Marketing Spend</v>
      </c>
      <c r="D228" s="1" t="str">
        <f t="shared" ca="1" si="30"/>
        <v>Rapid Transport</v>
      </c>
      <c r="E228" s="1">
        <f t="shared" ca="1" si="31"/>
        <v>4919</v>
      </c>
      <c r="F228" s="1">
        <f t="shared" ca="1" si="32"/>
        <v>12</v>
      </c>
      <c r="G228" s="1">
        <f t="shared" ca="1" si="33"/>
        <v>590.28</v>
      </c>
      <c r="H228" s="1">
        <f t="shared" ca="1" si="34"/>
        <v>5509.28</v>
      </c>
      <c r="I228" s="1" t="str">
        <f t="shared" ca="1" si="35"/>
        <v>CC106</v>
      </c>
    </row>
    <row r="229" spans="1:9" hidden="1" x14ac:dyDescent="0.3">
      <c r="A229" s="2">
        <f t="shared" ca="1" si="27"/>
        <v>45010</v>
      </c>
      <c r="B229" s="1" t="str">
        <f t="shared" ca="1" si="28"/>
        <v>Operations</v>
      </c>
      <c r="C229" s="1" t="str">
        <f t="shared" ca="1" si="29"/>
        <v>Travel</v>
      </c>
      <c r="D229" s="1" t="str">
        <f t="shared" ca="1" si="30"/>
        <v>Alpha Logistics</v>
      </c>
      <c r="E229" s="1">
        <f t="shared" ca="1" si="31"/>
        <v>30272</v>
      </c>
      <c r="F229" s="1">
        <f t="shared" ca="1" si="32"/>
        <v>5</v>
      </c>
      <c r="G229" s="1">
        <f t="shared" ca="1" si="33"/>
        <v>1513.6</v>
      </c>
      <c r="H229" s="1">
        <f t="shared" ca="1" si="34"/>
        <v>31785.599999999999</v>
      </c>
      <c r="I229" s="1" t="str">
        <f t="shared" ca="1" si="35"/>
        <v>CC102</v>
      </c>
    </row>
    <row r="230" spans="1:9" x14ac:dyDescent="0.3">
      <c r="A230" s="2">
        <f t="shared" ca="1" si="27"/>
        <v>44969</v>
      </c>
      <c r="B230" s="1" t="str">
        <f t="shared" ca="1" si="28"/>
        <v>Procurement</v>
      </c>
      <c r="C230" s="1" t="str">
        <f t="shared" ca="1" si="29"/>
        <v>Software</v>
      </c>
      <c r="D230" s="1" t="str">
        <f t="shared" ca="1" si="30"/>
        <v>Alpha Logistics</v>
      </c>
      <c r="E230" s="1">
        <f t="shared" ca="1" si="31"/>
        <v>23033</v>
      </c>
      <c r="F230" s="1">
        <f t="shared" ca="1" si="32"/>
        <v>5</v>
      </c>
      <c r="G230" s="1">
        <f t="shared" ca="1" si="33"/>
        <v>1151.6500000000001</v>
      </c>
      <c r="H230" s="1">
        <f t="shared" ca="1" si="34"/>
        <v>24184.65</v>
      </c>
      <c r="I230" s="1" t="str">
        <f t="shared" ca="1" si="35"/>
        <v>CC106</v>
      </c>
    </row>
    <row r="231" spans="1:9" x14ac:dyDescent="0.3">
      <c r="A231" s="2">
        <f t="shared" ca="1" si="27"/>
        <v>45533</v>
      </c>
      <c r="B231" s="1" t="str">
        <f t="shared" ca="1" si="28"/>
        <v>Operations</v>
      </c>
      <c r="C231" s="1" t="str">
        <f t="shared" ca="1" si="29"/>
        <v>Transportation</v>
      </c>
      <c r="D231" s="1" t="str">
        <f t="shared" ca="1" si="30"/>
        <v>Global Traders</v>
      </c>
      <c r="E231" s="1">
        <f t="shared" ca="1" si="31"/>
        <v>42561</v>
      </c>
      <c r="F231" s="1">
        <f t="shared" ca="1" si="32"/>
        <v>12</v>
      </c>
      <c r="G231" s="1">
        <f t="shared" ca="1" si="33"/>
        <v>5107.32</v>
      </c>
      <c r="H231" s="1">
        <f t="shared" ca="1" si="34"/>
        <v>47668.32</v>
      </c>
      <c r="I231" s="1" t="str">
        <f t="shared" ca="1" si="35"/>
        <v>CC101</v>
      </c>
    </row>
    <row r="232" spans="1:9" hidden="1" x14ac:dyDescent="0.3">
      <c r="A232" s="2">
        <f t="shared" ca="1" si="27"/>
        <v>45168</v>
      </c>
      <c r="B232" s="1" t="str">
        <f t="shared" ca="1" si="28"/>
        <v>IT</v>
      </c>
      <c r="C232" s="1" t="str">
        <f t="shared" ca="1" si="29"/>
        <v>Transportation</v>
      </c>
      <c r="D232" s="1" t="str">
        <f t="shared" ca="1" si="30"/>
        <v>Global Traders</v>
      </c>
      <c r="E232" s="1">
        <f t="shared" ca="1" si="31"/>
        <v>42792</v>
      </c>
      <c r="F232" s="1">
        <f t="shared" ca="1" si="32"/>
        <v>18</v>
      </c>
      <c r="G232" s="1">
        <f t="shared" ca="1" si="33"/>
        <v>7702.56</v>
      </c>
      <c r="H232" s="1">
        <f t="shared" ca="1" si="34"/>
        <v>50494.559999999998</v>
      </c>
      <c r="I232" s="1" t="str">
        <f t="shared" ca="1" si="35"/>
        <v>CC104</v>
      </c>
    </row>
    <row r="233" spans="1:9" x14ac:dyDescent="0.3">
      <c r="A233" s="2">
        <f t="shared" ca="1" si="27"/>
        <v>45608</v>
      </c>
      <c r="B233" s="1" t="str">
        <f t="shared" ca="1" si="28"/>
        <v>Marketing</v>
      </c>
      <c r="C233" s="1" t="str">
        <f t="shared" ca="1" si="29"/>
        <v>Travel</v>
      </c>
      <c r="D233" s="1" t="str">
        <f t="shared" ca="1" si="30"/>
        <v>Skyline Marketing</v>
      </c>
      <c r="E233" s="1">
        <f t="shared" ca="1" si="31"/>
        <v>46092</v>
      </c>
      <c r="F233" s="1">
        <f t="shared" ca="1" si="32"/>
        <v>18</v>
      </c>
      <c r="G233" s="1">
        <f t="shared" ca="1" si="33"/>
        <v>8296.56</v>
      </c>
      <c r="H233" s="1">
        <f t="shared" ca="1" si="34"/>
        <v>54388.56</v>
      </c>
      <c r="I233" s="1" t="str">
        <f t="shared" ca="1" si="35"/>
        <v>CC104</v>
      </c>
    </row>
    <row r="234" spans="1:9" hidden="1" x14ac:dyDescent="0.3">
      <c r="A234" s="2">
        <f t="shared" ca="1" si="27"/>
        <v>45372</v>
      </c>
      <c r="B234" s="1" t="str">
        <f t="shared" ca="1" si="28"/>
        <v>IT</v>
      </c>
      <c r="C234" s="1" t="str">
        <f t="shared" ca="1" si="29"/>
        <v>Miscellaneous</v>
      </c>
      <c r="D234" s="1" t="str">
        <f t="shared" ca="1" si="30"/>
        <v>Alpha Logistics</v>
      </c>
      <c r="E234" s="1">
        <f t="shared" ca="1" si="31"/>
        <v>40258</v>
      </c>
      <c r="F234" s="1">
        <f t="shared" ca="1" si="32"/>
        <v>18</v>
      </c>
      <c r="G234" s="1">
        <f t="shared" ca="1" si="33"/>
        <v>7246.44</v>
      </c>
      <c r="H234" s="1">
        <f t="shared" ca="1" si="34"/>
        <v>47504.44</v>
      </c>
      <c r="I234" s="1" t="str">
        <f t="shared" ca="1" si="35"/>
        <v>CC101</v>
      </c>
    </row>
    <row r="235" spans="1:9" hidden="1" x14ac:dyDescent="0.3">
      <c r="A235" s="2">
        <f t="shared" ca="1" si="27"/>
        <v>45086</v>
      </c>
      <c r="B235" s="1" t="str">
        <f t="shared" ca="1" si="28"/>
        <v>HR</v>
      </c>
      <c r="C235" s="1" t="str">
        <f t="shared" ca="1" si="29"/>
        <v>Travel</v>
      </c>
      <c r="D235" s="1" t="str">
        <f t="shared" ca="1" si="30"/>
        <v>QuickFix Services</v>
      </c>
      <c r="E235" s="1">
        <f t="shared" ca="1" si="31"/>
        <v>6902</v>
      </c>
      <c r="F235" s="1">
        <f t="shared" ca="1" si="32"/>
        <v>5</v>
      </c>
      <c r="G235" s="1">
        <f t="shared" ca="1" si="33"/>
        <v>345.1</v>
      </c>
      <c r="H235" s="1">
        <f t="shared" ca="1" si="34"/>
        <v>7247.1</v>
      </c>
      <c r="I235" s="1" t="str">
        <f t="shared" ca="1" si="35"/>
        <v>CC102</v>
      </c>
    </row>
    <row r="236" spans="1:9" hidden="1" x14ac:dyDescent="0.3">
      <c r="A236" s="2">
        <f t="shared" ca="1" si="27"/>
        <v>45331</v>
      </c>
      <c r="B236" s="1" t="str">
        <f t="shared" ca="1" si="28"/>
        <v>Sales</v>
      </c>
      <c r="C236" s="1" t="str">
        <f t="shared" ca="1" si="29"/>
        <v>Maintenance</v>
      </c>
      <c r="D236" s="1" t="str">
        <f t="shared" ca="1" si="30"/>
        <v>Global Traders</v>
      </c>
      <c r="E236" s="1">
        <f t="shared" ca="1" si="31"/>
        <v>18425</v>
      </c>
      <c r="F236" s="1">
        <f t="shared" ca="1" si="32"/>
        <v>5</v>
      </c>
      <c r="G236" s="1">
        <f t="shared" ca="1" si="33"/>
        <v>921.25</v>
      </c>
      <c r="H236" s="1">
        <f t="shared" ca="1" si="34"/>
        <v>19346.25</v>
      </c>
      <c r="I236" s="1" t="str">
        <f t="shared" ca="1" si="35"/>
        <v>CC102</v>
      </c>
    </row>
    <row r="237" spans="1:9" x14ac:dyDescent="0.3">
      <c r="A237" s="2">
        <f t="shared" ca="1" si="27"/>
        <v>45536</v>
      </c>
      <c r="B237" s="1" t="str">
        <f t="shared" ca="1" si="28"/>
        <v>IT</v>
      </c>
      <c r="C237" s="1" t="str">
        <f t="shared" ca="1" si="29"/>
        <v>Training</v>
      </c>
      <c r="D237" s="1" t="str">
        <f t="shared" ca="1" si="30"/>
        <v>Rapid Transport</v>
      </c>
      <c r="E237" s="1">
        <f t="shared" ca="1" si="31"/>
        <v>18840</v>
      </c>
      <c r="F237" s="1">
        <f t="shared" ca="1" si="32"/>
        <v>18</v>
      </c>
      <c r="G237" s="1">
        <f t="shared" ca="1" si="33"/>
        <v>3391.2</v>
      </c>
      <c r="H237" s="1">
        <f t="shared" ca="1" si="34"/>
        <v>22231.200000000001</v>
      </c>
      <c r="I237" s="1" t="str">
        <f t="shared" ca="1" si="35"/>
        <v>CC102</v>
      </c>
    </row>
    <row r="238" spans="1:9" hidden="1" x14ac:dyDescent="0.3">
      <c r="A238" s="2">
        <f t="shared" ca="1" si="27"/>
        <v>45278</v>
      </c>
      <c r="B238" s="1" t="str">
        <f t="shared" ca="1" si="28"/>
        <v>IT</v>
      </c>
      <c r="C238" s="1" t="str">
        <f t="shared" ca="1" si="29"/>
        <v>Transportation</v>
      </c>
      <c r="D238" s="1" t="str">
        <f t="shared" ca="1" si="30"/>
        <v>Rapid Transport</v>
      </c>
      <c r="E238" s="1">
        <f t="shared" ca="1" si="31"/>
        <v>41714</v>
      </c>
      <c r="F238" s="1">
        <f t="shared" ca="1" si="32"/>
        <v>12</v>
      </c>
      <c r="G238" s="1">
        <f t="shared" ca="1" si="33"/>
        <v>5005.68</v>
      </c>
      <c r="H238" s="1">
        <f t="shared" ca="1" si="34"/>
        <v>46719.68</v>
      </c>
      <c r="I238" s="1" t="str">
        <f t="shared" ca="1" si="35"/>
        <v>CC106</v>
      </c>
    </row>
    <row r="239" spans="1:9" x14ac:dyDescent="0.3">
      <c r="A239" s="2">
        <f t="shared" ca="1" si="27"/>
        <v>45499</v>
      </c>
      <c r="B239" s="1" t="str">
        <f t="shared" ca="1" si="28"/>
        <v>IT</v>
      </c>
      <c r="C239" s="1" t="str">
        <f t="shared" ca="1" si="29"/>
        <v>Marketing Spend</v>
      </c>
      <c r="D239" s="1" t="str">
        <f t="shared" ca="1" si="30"/>
        <v>Skyline Marketing</v>
      </c>
      <c r="E239" s="1">
        <f t="shared" ca="1" si="31"/>
        <v>17691</v>
      </c>
      <c r="F239" s="1">
        <f t="shared" ca="1" si="32"/>
        <v>18</v>
      </c>
      <c r="G239" s="1">
        <f t="shared" ca="1" si="33"/>
        <v>3184.38</v>
      </c>
      <c r="H239" s="1">
        <f t="shared" ca="1" si="34"/>
        <v>20875.38</v>
      </c>
      <c r="I239" s="1" t="str">
        <f t="shared" ca="1" si="35"/>
        <v>CC105</v>
      </c>
    </row>
    <row r="240" spans="1:9" hidden="1" x14ac:dyDescent="0.3">
      <c r="A240" s="2">
        <f t="shared" ca="1" si="27"/>
        <v>45137</v>
      </c>
      <c r="B240" s="1" t="str">
        <f t="shared" ca="1" si="28"/>
        <v>Sales</v>
      </c>
      <c r="C240" s="1" t="str">
        <f t="shared" ca="1" si="29"/>
        <v>Miscellaneous</v>
      </c>
      <c r="D240" s="1" t="str">
        <f t="shared" ca="1" si="30"/>
        <v>Universal Systems</v>
      </c>
      <c r="E240" s="1">
        <f t="shared" ca="1" si="31"/>
        <v>12264</v>
      </c>
      <c r="F240" s="1">
        <f t="shared" ca="1" si="32"/>
        <v>5</v>
      </c>
      <c r="G240" s="1">
        <f t="shared" ca="1" si="33"/>
        <v>613.20000000000005</v>
      </c>
      <c r="H240" s="1">
        <f t="shared" ca="1" si="34"/>
        <v>12877.2</v>
      </c>
      <c r="I240" s="1" t="str">
        <f t="shared" ca="1" si="35"/>
        <v>CC106</v>
      </c>
    </row>
    <row r="241" spans="1:9" hidden="1" x14ac:dyDescent="0.3">
      <c r="A241" s="2">
        <f t="shared" ca="1" si="27"/>
        <v>45618</v>
      </c>
      <c r="B241" s="1" t="str">
        <f t="shared" ca="1" si="28"/>
        <v>Finance</v>
      </c>
      <c r="C241" s="1" t="str">
        <f t="shared" ca="1" si="29"/>
        <v>Office Supplies</v>
      </c>
      <c r="D241" s="1" t="str">
        <f t="shared" ca="1" si="30"/>
        <v>Alpha Logistics</v>
      </c>
      <c r="E241" s="1">
        <f t="shared" ca="1" si="31"/>
        <v>39585</v>
      </c>
      <c r="F241" s="1">
        <f t="shared" ca="1" si="32"/>
        <v>12</v>
      </c>
      <c r="G241" s="1">
        <f t="shared" ca="1" si="33"/>
        <v>4750.2</v>
      </c>
      <c r="H241" s="1">
        <f t="shared" ca="1" si="34"/>
        <v>44335.199999999997</v>
      </c>
      <c r="I241" s="1" t="str">
        <f t="shared" ca="1" si="35"/>
        <v>CC106</v>
      </c>
    </row>
    <row r="242" spans="1:9" x14ac:dyDescent="0.3">
      <c r="A242" s="2">
        <f t="shared" ca="1" si="27"/>
        <v>45275</v>
      </c>
      <c r="B242" s="1" t="str">
        <f t="shared" ca="1" si="28"/>
        <v>Procurement</v>
      </c>
      <c r="C242" s="1" t="str">
        <f t="shared" ca="1" si="29"/>
        <v>Miscellaneous</v>
      </c>
      <c r="D242" s="1" t="str">
        <f t="shared" ca="1" si="30"/>
        <v>QuickFix Services</v>
      </c>
      <c r="E242" s="1">
        <f t="shared" ca="1" si="31"/>
        <v>24066</v>
      </c>
      <c r="F242" s="1">
        <f t="shared" ca="1" si="32"/>
        <v>5</v>
      </c>
      <c r="G242" s="1">
        <f t="shared" ca="1" si="33"/>
        <v>1203.3</v>
      </c>
      <c r="H242" s="1">
        <f t="shared" ca="1" si="34"/>
        <v>25269.3</v>
      </c>
      <c r="I242" s="1" t="str">
        <f t="shared" ca="1" si="35"/>
        <v>CC105</v>
      </c>
    </row>
    <row r="243" spans="1:9" x14ac:dyDescent="0.3">
      <c r="A243" s="2">
        <f t="shared" ca="1" si="27"/>
        <v>45589</v>
      </c>
      <c r="B243" s="1" t="str">
        <f t="shared" ca="1" si="28"/>
        <v>Sales</v>
      </c>
      <c r="C243" s="1" t="str">
        <f t="shared" ca="1" si="29"/>
        <v>Miscellaneous</v>
      </c>
      <c r="D243" s="1" t="str">
        <f t="shared" ca="1" si="30"/>
        <v>Alpha Logistics</v>
      </c>
      <c r="E243" s="1">
        <f t="shared" ca="1" si="31"/>
        <v>13351</v>
      </c>
      <c r="F243" s="1">
        <f t="shared" ca="1" si="32"/>
        <v>18</v>
      </c>
      <c r="G243" s="1">
        <f t="shared" ca="1" si="33"/>
        <v>2403.1799999999998</v>
      </c>
      <c r="H243" s="1">
        <f t="shared" ca="1" si="34"/>
        <v>15754.18</v>
      </c>
      <c r="I243" s="1" t="str">
        <f t="shared" ca="1" si="35"/>
        <v>CC102</v>
      </c>
    </row>
    <row r="244" spans="1:9" hidden="1" x14ac:dyDescent="0.3">
      <c r="A244" s="2">
        <f t="shared" ca="1" si="27"/>
        <v>45379</v>
      </c>
      <c r="B244" s="1" t="str">
        <f t="shared" ca="1" si="28"/>
        <v>HR</v>
      </c>
      <c r="C244" s="1" t="str">
        <f t="shared" ca="1" si="29"/>
        <v>Travel</v>
      </c>
      <c r="D244" s="1" t="str">
        <f t="shared" ca="1" si="30"/>
        <v>Skyline Marketing</v>
      </c>
      <c r="E244" s="1">
        <f t="shared" ca="1" si="31"/>
        <v>31734</v>
      </c>
      <c r="F244" s="1">
        <f t="shared" ca="1" si="32"/>
        <v>12</v>
      </c>
      <c r="G244" s="1">
        <f t="shared" ca="1" si="33"/>
        <v>3808.08</v>
      </c>
      <c r="H244" s="1">
        <f t="shared" ca="1" si="34"/>
        <v>35542.080000000002</v>
      </c>
      <c r="I244" s="1" t="str">
        <f t="shared" ca="1" si="35"/>
        <v>CC104</v>
      </c>
    </row>
    <row r="245" spans="1:9" x14ac:dyDescent="0.3">
      <c r="A245" s="2">
        <f t="shared" ca="1" si="27"/>
        <v>45346</v>
      </c>
      <c r="B245" s="1" t="str">
        <f t="shared" ca="1" si="28"/>
        <v>HR</v>
      </c>
      <c r="C245" s="1" t="str">
        <f t="shared" ca="1" si="29"/>
        <v>Travel</v>
      </c>
      <c r="D245" s="1" t="str">
        <f t="shared" ca="1" si="30"/>
        <v>Global Traders</v>
      </c>
      <c r="E245" s="1">
        <f t="shared" ca="1" si="31"/>
        <v>42108</v>
      </c>
      <c r="F245" s="1">
        <f t="shared" ca="1" si="32"/>
        <v>12</v>
      </c>
      <c r="G245" s="1">
        <f t="shared" ca="1" si="33"/>
        <v>5052.96</v>
      </c>
      <c r="H245" s="1">
        <f t="shared" ca="1" si="34"/>
        <v>47160.959999999999</v>
      </c>
      <c r="I245" s="1" t="str">
        <f t="shared" ca="1" si="35"/>
        <v>CC106</v>
      </c>
    </row>
    <row r="246" spans="1:9" x14ac:dyDescent="0.3">
      <c r="A246" s="2">
        <f t="shared" ca="1" si="27"/>
        <v>45223</v>
      </c>
      <c r="B246" s="1" t="str">
        <f t="shared" ca="1" si="28"/>
        <v>Operations</v>
      </c>
      <c r="C246" s="1" t="str">
        <f t="shared" ca="1" si="29"/>
        <v>Training</v>
      </c>
      <c r="D246" s="1" t="str">
        <f t="shared" ca="1" si="30"/>
        <v>QuickFix Services</v>
      </c>
      <c r="E246" s="1">
        <f t="shared" ca="1" si="31"/>
        <v>6346</v>
      </c>
      <c r="F246" s="1">
        <f t="shared" ca="1" si="32"/>
        <v>5</v>
      </c>
      <c r="G246" s="1">
        <f t="shared" ca="1" si="33"/>
        <v>317.3</v>
      </c>
      <c r="H246" s="1">
        <f t="shared" ca="1" si="34"/>
        <v>6663.3</v>
      </c>
      <c r="I246" s="1" t="str">
        <f t="shared" ca="1" si="35"/>
        <v>CC101</v>
      </c>
    </row>
    <row r="247" spans="1:9" hidden="1" x14ac:dyDescent="0.3">
      <c r="A247" s="2">
        <f t="shared" ca="1" si="27"/>
        <v>45307</v>
      </c>
      <c r="B247" s="1" t="str">
        <f t="shared" ca="1" si="28"/>
        <v>Admin</v>
      </c>
      <c r="C247" s="1" t="str">
        <f t="shared" ca="1" si="29"/>
        <v>Maintenance</v>
      </c>
      <c r="D247" s="1" t="str">
        <f t="shared" ca="1" si="30"/>
        <v>Alpha Logistics</v>
      </c>
      <c r="E247" s="1">
        <f t="shared" ca="1" si="31"/>
        <v>22668</v>
      </c>
      <c r="F247" s="1">
        <f t="shared" ca="1" si="32"/>
        <v>18</v>
      </c>
      <c r="G247" s="1">
        <f t="shared" ca="1" si="33"/>
        <v>4080.24</v>
      </c>
      <c r="H247" s="1">
        <f t="shared" ca="1" si="34"/>
        <v>26748.239999999998</v>
      </c>
      <c r="I247" s="1" t="str">
        <f t="shared" ca="1" si="35"/>
        <v>CC106</v>
      </c>
    </row>
    <row r="248" spans="1:9" x14ac:dyDescent="0.3">
      <c r="A248" s="2">
        <f t="shared" ca="1" si="27"/>
        <v>45601</v>
      </c>
      <c r="B248" s="1" t="str">
        <f t="shared" ca="1" si="28"/>
        <v>HR</v>
      </c>
      <c r="C248" s="1" t="str">
        <f t="shared" ca="1" si="29"/>
        <v>Office Supplies</v>
      </c>
      <c r="D248" s="1" t="str">
        <f t="shared" ca="1" si="30"/>
        <v>Alpha Logistics</v>
      </c>
      <c r="E248" s="1">
        <f t="shared" ca="1" si="31"/>
        <v>28233</v>
      </c>
      <c r="F248" s="1">
        <f t="shared" ca="1" si="32"/>
        <v>5</v>
      </c>
      <c r="G248" s="1">
        <f t="shared" ca="1" si="33"/>
        <v>1411.65</v>
      </c>
      <c r="H248" s="1">
        <f t="shared" ca="1" si="34"/>
        <v>29644.65</v>
      </c>
      <c r="I248" s="1" t="str">
        <f t="shared" ca="1" si="35"/>
        <v>CC106</v>
      </c>
    </row>
    <row r="249" spans="1:9" x14ac:dyDescent="0.3">
      <c r="A249" s="2">
        <f t="shared" ca="1" si="27"/>
        <v>45034</v>
      </c>
      <c r="B249" s="1" t="str">
        <f t="shared" ca="1" si="28"/>
        <v>Finance</v>
      </c>
      <c r="C249" s="1" t="str">
        <f t="shared" ca="1" si="29"/>
        <v>Utilities</v>
      </c>
      <c r="D249" s="1" t="str">
        <f t="shared" ca="1" si="30"/>
        <v>Global Traders</v>
      </c>
      <c r="E249" s="1">
        <f t="shared" ca="1" si="31"/>
        <v>41226</v>
      </c>
      <c r="F249" s="1">
        <f t="shared" ca="1" si="32"/>
        <v>5</v>
      </c>
      <c r="G249" s="1">
        <f t="shared" ca="1" si="33"/>
        <v>2061.3000000000002</v>
      </c>
      <c r="H249" s="1">
        <f t="shared" ca="1" si="34"/>
        <v>43287.3</v>
      </c>
      <c r="I249" s="1" t="str">
        <f t="shared" ca="1" si="35"/>
        <v>CC101</v>
      </c>
    </row>
    <row r="250" spans="1:9" hidden="1" x14ac:dyDescent="0.3">
      <c r="A250" s="2">
        <f t="shared" ca="1" si="27"/>
        <v>45641</v>
      </c>
      <c r="B250" s="1" t="str">
        <f t="shared" ca="1" si="28"/>
        <v>Admin</v>
      </c>
      <c r="C250" s="1" t="str">
        <f t="shared" ca="1" si="29"/>
        <v>Travel</v>
      </c>
      <c r="D250" s="1" t="str">
        <f t="shared" ca="1" si="30"/>
        <v>Bright Solutions</v>
      </c>
      <c r="E250" s="1">
        <f t="shared" ca="1" si="31"/>
        <v>42333</v>
      </c>
      <c r="F250" s="1">
        <f t="shared" ca="1" si="32"/>
        <v>18</v>
      </c>
      <c r="G250" s="1">
        <f t="shared" ca="1" si="33"/>
        <v>7619.94</v>
      </c>
      <c r="H250" s="1">
        <f t="shared" ca="1" si="34"/>
        <v>49952.94</v>
      </c>
      <c r="I250" s="1" t="str">
        <f t="shared" ca="1" si="35"/>
        <v>CC103</v>
      </c>
    </row>
    <row r="251" spans="1:9" x14ac:dyDescent="0.3">
      <c r="A251" s="2">
        <f t="shared" ca="1" si="27"/>
        <v>45461</v>
      </c>
      <c r="B251" s="1" t="str">
        <f t="shared" ca="1" si="28"/>
        <v>Finance</v>
      </c>
      <c r="C251" s="1" t="str">
        <f t="shared" ca="1" si="29"/>
        <v>Transportation</v>
      </c>
      <c r="D251" s="1" t="str">
        <f t="shared" ca="1" si="30"/>
        <v>Bright Solutions</v>
      </c>
      <c r="E251" s="1">
        <f t="shared" ca="1" si="31"/>
        <v>40995</v>
      </c>
      <c r="F251" s="1">
        <f t="shared" ca="1" si="32"/>
        <v>12</v>
      </c>
      <c r="G251" s="1">
        <f t="shared" ca="1" si="33"/>
        <v>4919.3999999999996</v>
      </c>
      <c r="H251" s="1">
        <f t="shared" ca="1" si="34"/>
        <v>45914.400000000001</v>
      </c>
      <c r="I251" s="1" t="str">
        <f t="shared" ca="1" si="35"/>
        <v>CC102</v>
      </c>
    </row>
    <row r="252" spans="1:9" hidden="1" x14ac:dyDescent="0.3">
      <c r="A252" s="2">
        <f t="shared" ca="1" si="27"/>
        <v>45095</v>
      </c>
      <c r="B252" s="1" t="str">
        <f t="shared" ca="1" si="28"/>
        <v>Admin</v>
      </c>
      <c r="C252" s="1" t="str">
        <f t="shared" ca="1" si="29"/>
        <v>Software</v>
      </c>
      <c r="D252" s="1" t="str">
        <f t="shared" ca="1" si="30"/>
        <v>Alpha Logistics</v>
      </c>
      <c r="E252" s="1">
        <f t="shared" ca="1" si="31"/>
        <v>22436</v>
      </c>
      <c r="F252" s="1">
        <f t="shared" ca="1" si="32"/>
        <v>18</v>
      </c>
      <c r="G252" s="1">
        <f t="shared" ca="1" si="33"/>
        <v>4038.48</v>
      </c>
      <c r="H252" s="1">
        <f t="shared" ca="1" si="34"/>
        <v>26474.48</v>
      </c>
      <c r="I252" s="1" t="str">
        <f t="shared" ca="1" si="35"/>
        <v>CC105</v>
      </c>
    </row>
    <row r="253" spans="1:9" x14ac:dyDescent="0.3">
      <c r="A253" s="2">
        <f t="shared" ca="1" si="27"/>
        <v>45143</v>
      </c>
      <c r="B253" s="1" t="str">
        <f t="shared" ca="1" si="28"/>
        <v>Marketing</v>
      </c>
      <c r="C253" s="1" t="str">
        <f t="shared" ca="1" si="29"/>
        <v>Software</v>
      </c>
      <c r="D253" s="1" t="str">
        <f t="shared" ca="1" si="30"/>
        <v>Alpha Logistics</v>
      </c>
      <c r="E253" s="1">
        <f t="shared" ca="1" si="31"/>
        <v>23494</v>
      </c>
      <c r="F253" s="1">
        <f t="shared" ca="1" si="32"/>
        <v>18</v>
      </c>
      <c r="G253" s="1">
        <f t="shared" ca="1" si="33"/>
        <v>4228.92</v>
      </c>
      <c r="H253" s="1">
        <f t="shared" ca="1" si="34"/>
        <v>27722.92</v>
      </c>
      <c r="I253" s="1" t="str">
        <f t="shared" ca="1" si="35"/>
        <v>CC104</v>
      </c>
    </row>
    <row r="254" spans="1:9" x14ac:dyDescent="0.3">
      <c r="A254" s="2">
        <f t="shared" ca="1" si="27"/>
        <v>45269</v>
      </c>
      <c r="B254" s="1" t="str">
        <f t="shared" ca="1" si="28"/>
        <v>Operations</v>
      </c>
      <c r="C254" s="1" t="str">
        <f t="shared" ca="1" si="29"/>
        <v>Maintenance</v>
      </c>
      <c r="D254" s="1" t="str">
        <f t="shared" ca="1" si="30"/>
        <v>Universal Systems</v>
      </c>
      <c r="E254" s="1">
        <f t="shared" ca="1" si="31"/>
        <v>18318</v>
      </c>
      <c r="F254" s="1">
        <f t="shared" ca="1" si="32"/>
        <v>5</v>
      </c>
      <c r="G254" s="1">
        <f t="shared" ca="1" si="33"/>
        <v>915.9</v>
      </c>
      <c r="H254" s="1">
        <f t="shared" ca="1" si="34"/>
        <v>19233.900000000001</v>
      </c>
      <c r="I254" s="1" t="str">
        <f t="shared" ca="1" si="35"/>
        <v>CC105</v>
      </c>
    </row>
    <row r="255" spans="1:9" x14ac:dyDescent="0.3">
      <c r="A255" s="2">
        <f t="shared" ca="1" si="27"/>
        <v>45231</v>
      </c>
      <c r="B255" s="1" t="str">
        <f t="shared" ca="1" si="28"/>
        <v>Operations</v>
      </c>
      <c r="C255" s="1" t="str">
        <f t="shared" ca="1" si="29"/>
        <v>Salaries</v>
      </c>
      <c r="D255" s="1" t="str">
        <f t="shared" ca="1" si="30"/>
        <v>Infoserve Pvt Ltd</v>
      </c>
      <c r="E255" s="1">
        <f t="shared" ca="1" si="31"/>
        <v>10388</v>
      </c>
      <c r="F255" s="1">
        <f t="shared" ca="1" si="32"/>
        <v>12</v>
      </c>
      <c r="G255" s="1">
        <f t="shared" ca="1" si="33"/>
        <v>1246.56</v>
      </c>
      <c r="H255" s="1">
        <f t="shared" ca="1" si="34"/>
        <v>11634.56</v>
      </c>
      <c r="I255" s="1" t="str">
        <f t="shared" ca="1" si="35"/>
        <v>CC101</v>
      </c>
    </row>
    <row r="256" spans="1:9" x14ac:dyDescent="0.3">
      <c r="A256" s="2">
        <f t="shared" ca="1" si="27"/>
        <v>44997</v>
      </c>
      <c r="B256" s="1" t="str">
        <f t="shared" ca="1" si="28"/>
        <v>Sales</v>
      </c>
      <c r="C256" s="1" t="str">
        <f t="shared" ca="1" si="29"/>
        <v>Transportation</v>
      </c>
      <c r="D256" s="1" t="str">
        <f t="shared" ca="1" si="30"/>
        <v>Alpha Logistics</v>
      </c>
      <c r="E256" s="1">
        <f t="shared" ca="1" si="31"/>
        <v>34483</v>
      </c>
      <c r="F256" s="1">
        <f t="shared" ca="1" si="32"/>
        <v>5</v>
      </c>
      <c r="G256" s="1">
        <f t="shared" ca="1" si="33"/>
        <v>1724.15</v>
      </c>
      <c r="H256" s="1">
        <f t="shared" ca="1" si="34"/>
        <v>36207.15</v>
      </c>
      <c r="I256" s="1" t="str">
        <f t="shared" ca="1" si="35"/>
        <v>CC104</v>
      </c>
    </row>
    <row r="257" spans="1:9" x14ac:dyDescent="0.3">
      <c r="A257" s="2">
        <f t="shared" ca="1" si="27"/>
        <v>45386</v>
      </c>
      <c r="B257" s="1" t="str">
        <f t="shared" ca="1" si="28"/>
        <v>Sales</v>
      </c>
      <c r="C257" s="1" t="str">
        <f t="shared" ca="1" si="29"/>
        <v>Transportation</v>
      </c>
      <c r="D257" s="1" t="str">
        <f t="shared" ca="1" si="30"/>
        <v>Star Technologies</v>
      </c>
      <c r="E257" s="1">
        <f t="shared" ca="1" si="31"/>
        <v>639</v>
      </c>
      <c r="F257" s="1">
        <f t="shared" ca="1" si="32"/>
        <v>5</v>
      </c>
      <c r="G257" s="1">
        <f t="shared" ca="1" si="33"/>
        <v>31.95</v>
      </c>
      <c r="H257" s="1">
        <f t="shared" ca="1" si="34"/>
        <v>670.95</v>
      </c>
      <c r="I257" s="1" t="str">
        <f t="shared" ca="1" si="35"/>
        <v>CC106</v>
      </c>
    </row>
    <row r="258" spans="1:9" x14ac:dyDescent="0.3">
      <c r="A258" s="2">
        <f t="shared" ca="1" si="27"/>
        <v>45074</v>
      </c>
      <c r="B258" s="1" t="str">
        <f t="shared" ca="1" si="28"/>
        <v>IT</v>
      </c>
      <c r="C258" s="1" t="str">
        <f t="shared" ca="1" si="29"/>
        <v>Utilities</v>
      </c>
      <c r="D258" s="1" t="str">
        <f t="shared" ca="1" si="30"/>
        <v>Alpha Logistics</v>
      </c>
      <c r="E258" s="1">
        <f t="shared" ca="1" si="31"/>
        <v>30425</v>
      </c>
      <c r="F258" s="1">
        <f t="shared" ca="1" si="32"/>
        <v>5</v>
      </c>
      <c r="G258" s="1">
        <f t="shared" ca="1" si="33"/>
        <v>1521.25</v>
      </c>
      <c r="H258" s="1">
        <f t="shared" ca="1" si="34"/>
        <v>31946.25</v>
      </c>
      <c r="I258" s="1" t="str">
        <f t="shared" ca="1" si="35"/>
        <v>CC102</v>
      </c>
    </row>
    <row r="259" spans="1:9" hidden="1" x14ac:dyDescent="0.3">
      <c r="A259" s="2">
        <f t="shared" ca="1" si="27"/>
        <v>45294</v>
      </c>
      <c r="B259" s="1" t="str">
        <f t="shared" ca="1" si="28"/>
        <v>Admin</v>
      </c>
      <c r="C259" s="1" t="str">
        <f t="shared" ca="1" si="29"/>
        <v>Miscellaneous</v>
      </c>
      <c r="D259" s="1" t="str">
        <f t="shared" ca="1" si="30"/>
        <v>Skyline Marketing</v>
      </c>
      <c r="E259" s="1">
        <f t="shared" ca="1" si="31"/>
        <v>27372</v>
      </c>
      <c r="F259" s="1">
        <f t="shared" ca="1" si="32"/>
        <v>5</v>
      </c>
      <c r="G259" s="1">
        <f t="shared" ca="1" si="33"/>
        <v>1368.6</v>
      </c>
      <c r="H259" s="1">
        <f t="shared" ca="1" si="34"/>
        <v>28740.6</v>
      </c>
      <c r="I259" s="1" t="str">
        <f t="shared" ca="1" si="35"/>
        <v>CC104</v>
      </c>
    </row>
    <row r="260" spans="1:9" x14ac:dyDescent="0.3">
      <c r="A260" s="2">
        <f t="shared" ref="A260:A323" ca="1" si="36">RANDBETWEEN(DATE(2023,1,1), DATE(2024,12,31))</f>
        <v>45026</v>
      </c>
      <c r="B260" s="1" t="str">
        <f t="shared" ref="B260:B323" ca="1" si="37">CHOOSE(RANDBETWEEN(1,8),"HR","Finance","Operations","IT","Marketing","Sales","Procurement","Admin")</f>
        <v>Finance</v>
      </c>
      <c r="C260" s="1" t="str">
        <f t="shared" ref="C260:C323" ca="1" si="38">CHOOSE(RANDBETWEEN(1,10),"Travel","Office Supplies","Salaries","Maintenance","Utilities","Software","Training","Marketing Spend","Transportation","Miscellaneous")</f>
        <v>Training</v>
      </c>
      <c r="D260" s="1" t="str">
        <f t="shared" ref="D260:D323" ca="1" si="39">CHOOSE(RANDBETWEEN(1,10),
"Infoserve Pvt Ltd",
"Global Traders",
"Alpha Logistics",
"Bright Solutions",
"Star Technologies",
"Urban Office Mart",
"QuickFix Services",
"Skyline Marketing",
"Rapid Transport",
"Universal Systems")</f>
        <v>Bright Solutions</v>
      </c>
      <c r="E260" s="1">
        <f t="shared" ref="E260:E323" ca="1" si="40">RANDBETWEEN(500,50000)</f>
        <v>37209</v>
      </c>
      <c r="F260" s="1">
        <f t="shared" ref="F260:F323" ca="1" si="41">CHOOSE(RANDBETWEEN(1,3),5,12,18)</f>
        <v>12</v>
      </c>
      <c r="G260" s="1">
        <f t="shared" ref="G260:G323" ca="1" si="42">E260*F260/100</f>
        <v>4465.08</v>
      </c>
      <c r="H260" s="1">
        <f t="shared" ref="H260:H323" ca="1" si="43">E260+G260</f>
        <v>41674.080000000002</v>
      </c>
      <c r="I260" s="1" t="str">
        <f t="shared" ref="I260:I323" ca="1" si="44">CHOOSE(RANDBETWEEN(1,6),"CC101","CC102","CC103","CC104","CC105","CC106")</f>
        <v>CC102</v>
      </c>
    </row>
    <row r="261" spans="1:9" hidden="1" x14ac:dyDescent="0.3">
      <c r="A261" s="2">
        <f t="shared" ca="1" si="36"/>
        <v>45385</v>
      </c>
      <c r="B261" s="1" t="str">
        <f t="shared" ca="1" si="37"/>
        <v>Sales</v>
      </c>
      <c r="C261" s="1" t="str">
        <f t="shared" ca="1" si="38"/>
        <v>Utilities</v>
      </c>
      <c r="D261" s="1" t="str">
        <f t="shared" ca="1" si="39"/>
        <v>Rapid Transport</v>
      </c>
      <c r="E261" s="1">
        <f t="shared" ca="1" si="40"/>
        <v>31302</v>
      </c>
      <c r="F261" s="1">
        <f t="shared" ca="1" si="41"/>
        <v>12</v>
      </c>
      <c r="G261" s="1">
        <f t="shared" ca="1" si="42"/>
        <v>3756.24</v>
      </c>
      <c r="H261" s="1">
        <f t="shared" ca="1" si="43"/>
        <v>35058.239999999998</v>
      </c>
      <c r="I261" s="1" t="str">
        <f t="shared" ca="1" si="44"/>
        <v>CC102</v>
      </c>
    </row>
    <row r="262" spans="1:9" x14ac:dyDescent="0.3">
      <c r="A262" s="2">
        <f t="shared" ca="1" si="36"/>
        <v>45441</v>
      </c>
      <c r="B262" s="1" t="str">
        <f t="shared" ca="1" si="37"/>
        <v>Marketing</v>
      </c>
      <c r="C262" s="1" t="str">
        <f t="shared" ca="1" si="38"/>
        <v>Software</v>
      </c>
      <c r="D262" s="1" t="str">
        <f t="shared" ca="1" si="39"/>
        <v>Skyline Marketing</v>
      </c>
      <c r="E262" s="1">
        <f t="shared" ca="1" si="40"/>
        <v>8811</v>
      </c>
      <c r="F262" s="1">
        <f t="shared" ca="1" si="41"/>
        <v>12</v>
      </c>
      <c r="G262" s="1">
        <f t="shared" ca="1" si="42"/>
        <v>1057.32</v>
      </c>
      <c r="H262" s="1">
        <f t="shared" ca="1" si="43"/>
        <v>9868.32</v>
      </c>
      <c r="I262" s="1" t="str">
        <f t="shared" ca="1" si="44"/>
        <v>CC104</v>
      </c>
    </row>
    <row r="263" spans="1:9" hidden="1" x14ac:dyDescent="0.3">
      <c r="A263" s="2">
        <f t="shared" ca="1" si="36"/>
        <v>45174</v>
      </c>
      <c r="B263" s="1" t="str">
        <f t="shared" ca="1" si="37"/>
        <v>Operations</v>
      </c>
      <c r="C263" s="1" t="str">
        <f t="shared" ca="1" si="38"/>
        <v>Training</v>
      </c>
      <c r="D263" s="1" t="str">
        <f t="shared" ca="1" si="39"/>
        <v>Universal Systems</v>
      </c>
      <c r="E263" s="1">
        <f t="shared" ca="1" si="40"/>
        <v>20215</v>
      </c>
      <c r="F263" s="1">
        <f t="shared" ca="1" si="41"/>
        <v>5</v>
      </c>
      <c r="G263" s="1">
        <f t="shared" ca="1" si="42"/>
        <v>1010.75</v>
      </c>
      <c r="H263" s="1">
        <f t="shared" ca="1" si="43"/>
        <v>21225.75</v>
      </c>
      <c r="I263" s="1" t="str">
        <f t="shared" ca="1" si="44"/>
        <v>CC106</v>
      </c>
    </row>
    <row r="264" spans="1:9" hidden="1" x14ac:dyDescent="0.3">
      <c r="A264" s="2">
        <f t="shared" ca="1" si="36"/>
        <v>45099</v>
      </c>
      <c r="B264" s="1" t="str">
        <f t="shared" ca="1" si="37"/>
        <v>Marketing</v>
      </c>
      <c r="C264" s="1" t="str">
        <f t="shared" ca="1" si="38"/>
        <v>Transportation</v>
      </c>
      <c r="D264" s="1" t="str">
        <f t="shared" ca="1" si="39"/>
        <v>Bright Solutions</v>
      </c>
      <c r="E264" s="1">
        <f t="shared" ca="1" si="40"/>
        <v>1015</v>
      </c>
      <c r="F264" s="1">
        <f t="shared" ca="1" si="41"/>
        <v>5</v>
      </c>
      <c r="G264" s="1">
        <f t="shared" ca="1" si="42"/>
        <v>50.75</v>
      </c>
      <c r="H264" s="1">
        <f t="shared" ca="1" si="43"/>
        <v>1065.75</v>
      </c>
      <c r="I264" s="1" t="str">
        <f t="shared" ca="1" si="44"/>
        <v>CC105</v>
      </c>
    </row>
    <row r="265" spans="1:9" hidden="1" x14ac:dyDescent="0.3">
      <c r="A265" s="2">
        <f t="shared" ca="1" si="36"/>
        <v>45349</v>
      </c>
      <c r="B265" s="1" t="str">
        <f t="shared" ca="1" si="37"/>
        <v>IT</v>
      </c>
      <c r="C265" s="1" t="str">
        <f t="shared" ca="1" si="38"/>
        <v>Office Supplies</v>
      </c>
      <c r="D265" s="1" t="str">
        <f t="shared" ca="1" si="39"/>
        <v>Bright Solutions</v>
      </c>
      <c r="E265" s="1">
        <f t="shared" ca="1" si="40"/>
        <v>2241</v>
      </c>
      <c r="F265" s="1">
        <f t="shared" ca="1" si="41"/>
        <v>5</v>
      </c>
      <c r="G265" s="1">
        <f t="shared" ca="1" si="42"/>
        <v>112.05</v>
      </c>
      <c r="H265" s="1">
        <f t="shared" ca="1" si="43"/>
        <v>2353.0500000000002</v>
      </c>
      <c r="I265" s="1" t="str">
        <f t="shared" ca="1" si="44"/>
        <v>CC103</v>
      </c>
    </row>
    <row r="266" spans="1:9" x14ac:dyDescent="0.3">
      <c r="A266" s="2">
        <f t="shared" ca="1" si="36"/>
        <v>45596</v>
      </c>
      <c r="B266" s="1" t="str">
        <f t="shared" ca="1" si="37"/>
        <v>Marketing</v>
      </c>
      <c r="C266" s="1" t="str">
        <f t="shared" ca="1" si="38"/>
        <v>Salaries</v>
      </c>
      <c r="D266" s="1" t="str">
        <f t="shared" ca="1" si="39"/>
        <v>Infoserve Pvt Ltd</v>
      </c>
      <c r="E266" s="1">
        <f t="shared" ca="1" si="40"/>
        <v>23977</v>
      </c>
      <c r="F266" s="1">
        <f t="shared" ca="1" si="41"/>
        <v>5</v>
      </c>
      <c r="G266" s="1">
        <f t="shared" ca="1" si="42"/>
        <v>1198.8499999999999</v>
      </c>
      <c r="H266" s="1">
        <f t="shared" ca="1" si="43"/>
        <v>25175.85</v>
      </c>
      <c r="I266" s="1" t="str">
        <f t="shared" ca="1" si="44"/>
        <v>CC102</v>
      </c>
    </row>
    <row r="267" spans="1:9" hidden="1" x14ac:dyDescent="0.3">
      <c r="A267" s="2">
        <f t="shared" ca="1" si="36"/>
        <v>45373</v>
      </c>
      <c r="B267" s="1" t="str">
        <f t="shared" ca="1" si="37"/>
        <v>Operations</v>
      </c>
      <c r="C267" s="1" t="str">
        <f t="shared" ca="1" si="38"/>
        <v>Salaries</v>
      </c>
      <c r="D267" s="1" t="str">
        <f t="shared" ca="1" si="39"/>
        <v>QuickFix Services</v>
      </c>
      <c r="E267" s="1">
        <f t="shared" ca="1" si="40"/>
        <v>3531</v>
      </c>
      <c r="F267" s="1">
        <f t="shared" ca="1" si="41"/>
        <v>12</v>
      </c>
      <c r="G267" s="1">
        <f t="shared" ca="1" si="42"/>
        <v>423.72</v>
      </c>
      <c r="H267" s="1">
        <f t="shared" ca="1" si="43"/>
        <v>3954.7200000000003</v>
      </c>
      <c r="I267" s="1" t="str">
        <f t="shared" ca="1" si="44"/>
        <v>CC104</v>
      </c>
    </row>
    <row r="268" spans="1:9" x14ac:dyDescent="0.3">
      <c r="A268" s="2">
        <f t="shared" ca="1" si="36"/>
        <v>45571</v>
      </c>
      <c r="B268" s="1" t="str">
        <f t="shared" ca="1" si="37"/>
        <v>Admin</v>
      </c>
      <c r="C268" s="1" t="str">
        <f t="shared" ca="1" si="38"/>
        <v>Salaries</v>
      </c>
      <c r="D268" s="1" t="str">
        <f t="shared" ca="1" si="39"/>
        <v>Star Technologies</v>
      </c>
      <c r="E268" s="1">
        <f t="shared" ca="1" si="40"/>
        <v>43443</v>
      </c>
      <c r="F268" s="1">
        <f t="shared" ca="1" si="41"/>
        <v>12</v>
      </c>
      <c r="G268" s="1">
        <f t="shared" ca="1" si="42"/>
        <v>5213.16</v>
      </c>
      <c r="H268" s="1">
        <f t="shared" ca="1" si="43"/>
        <v>48656.160000000003</v>
      </c>
      <c r="I268" s="1" t="str">
        <f t="shared" ca="1" si="44"/>
        <v>CC103</v>
      </c>
    </row>
    <row r="269" spans="1:9" hidden="1" x14ac:dyDescent="0.3">
      <c r="A269" s="2">
        <f t="shared" ca="1" si="36"/>
        <v>45255</v>
      </c>
      <c r="B269" s="1" t="str">
        <f t="shared" ca="1" si="37"/>
        <v>Sales</v>
      </c>
      <c r="C269" s="1" t="str">
        <f t="shared" ca="1" si="38"/>
        <v>Office Supplies</v>
      </c>
      <c r="D269" s="1" t="str">
        <f t="shared" ca="1" si="39"/>
        <v>Skyline Marketing</v>
      </c>
      <c r="E269" s="1">
        <f t="shared" ca="1" si="40"/>
        <v>11217</v>
      </c>
      <c r="F269" s="1">
        <f t="shared" ca="1" si="41"/>
        <v>12</v>
      </c>
      <c r="G269" s="1">
        <f t="shared" ca="1" si="42"/>
        <v>1346.04</v>
      </c>
      <c r="H269" s="1">
        <f t="shared" ca="1" si="43"/>
        <v>12563.04</v>
      </c>
      <c r="I269" s="1" t="str">
        <f t="shared" ca="1" si="44"/>
        <v>CC101</v>
      </c>
    </row>
    <row r="270" spans="1:9" hidden="1" x14ac:dyDescent="0.3">
      <c r="A270" s="2">
        <f t="shared" ca="1" si="36"/>
        <v>45234</v>
      </c>
      <c r="B270" s="1" t="str">
        <f t="shared" ca="1" si="37"/>
        <v>Admin</v>
      </c>
      <c r="C270" s="1" t="str">
        <f t="shared" ca="1" si="38"/>
        <v>Travel</v>
      </c>
      <c r="D270" s="1" t="str">
        <f t="shared" ca="1" si="39"/>
        <v>Star Technologies</v>
      </c>
      <c r="E270" s="1">
        <f t="shared" ca="1" si="40"/>
        <v>31873</v>
      </c>
      <c r="F270" s="1">
        <f t="shared" ca="1" si="41"/>
        <v>5</v>
      </c>
      <c r="G270" s="1">
        <f t="shared" ca="1" si="42"/>
        <v>1593.65</v>
      </c>
      <c r="H270" s="1">
        <f t="shared" ca="1" si="43"/>
        <v>33466.65</v>
      </c>
      <c r="I270" s="1" t="str">
        <f t="shared" ca="1" si="44"/>
        <v>CC106</v>
      </c>
    </row>
    <row r="271" spans="1:9" hidden="1" x14ac:dyDescent="0.3">
      <c r="A271" s="2">
        <f t="shared" ca="1" si="36"/>
        <v>45533</v>
      </c>
      <c r="B271" s="1" t="str">
        <f t="shared" ca="1" si="37"/>
        <v>Procurement</v>
      </c>
      <c r="C271" s="1" t="str">
        <f t="shared" ca="1" si="38"/>
        <v>Software</v>
      </c>
      <c r="D271" s="1" t="str">
        <f t="shared" ca="1" si="39"/>
        <v>Universal Systems</v>
      </c>
      <c r="E271" s="1">
        <f t="shared" ca="1" si="40"/>
        <v>30625</v>
      </c>
      <c r="F271" s="1">
        <f t="shared" ca="1" si="41"/>
        <v>18</v>
      </c>
      <c r="G271" s="1">
        <f t="shared" ca="1" si="42"/>
        <v>5512.5</v>
      </c>
      <c r="H271" s="1">
        <f t="shared" ca="1" si="43"/>
        <v>36137.5</v>
      </c>
      <c r="I271" s="1" t="str">
        <f t="shared" ca="1" si="44"/>
        <v>CC104</v>
      </c>
    </row>
    <row r="272" spans="1:9" x14ac:dyDescent="0.3">
      <c r="A272" s="2">
        <f t="shared" ca="1" si="36"/>
        <v>45502</v>
      </c>
      <c r="B272" s="1" t="str">
        <f t="shared" ca="1" si="37"/>
        <v>IT</v>
      </c>
      <c r="C272" s="1" t="str">
        <f t="shared" ca="1" si="38"/>
        <v>Software</v>
      </c>
      <c r="D272" s="1" t="str">
        <f t="shared" ca="1" si="39"/>
        <v>Rapid Transport</v>
      </c>
      <c r="E272" s="1">
        <f t="shared" ca="1" si="40"/>
        <v>3783</v>
      </c>
      <c r="F272" s="1">
        <f t="shared" ca="1" si="41"/>
        <v>5</v>
      </c>
      <c r="G272" s="1">
        <f t="shared" ca="1" si="42"/>
        <v>189.15</v>
      </c>
      <c r="H272" s="1">
        <f t="shared" ca="1" si="43"/>
        <v>3972.15</v>
      </c>
      <c r="I272" s="1" t="str">
        <f t="shared" ca="1" si="44"/>
        <v>CC103</v>
      </c>
    </row>
    <row r="273" spans="1:9" hidden="1" x14ac:dyDescent="0.3">
      <c r="A273" s="2">
        <f t="shared" ca="1" si="36"/>
        <v>45140</v>
      </c>
      <c r="B273" s="1" t="str">
        <f t="shared" ca="1" si="37"/>
        <v>Operations</v>
      </c>
      <c r="C273" s="1" t="str">
        <f t="shared" ca="1" si="38"/>
        <v>Miscellaneous</v>
      </c>
      <c r="D273" s="1" t="str">
        <f t="shared" ca="1" si="39"/>
        <v>Universal Systems</v>
      </c>
      <c r="E273" s="1">
        <f t="shared" ca="1" si="40"/>
        <v>23422</v>
      </c>
      <c r="F273" s="1">
        <f t="shared" ca="1" si="41"/>
        <v>5</v>
      </c>
      <c r="G273" s="1">
        <f t="shared" ca="1" si="42"/>
        <v>1171.0999999999999</v>
      </c>
      <c r="H273" s="1">
        <f t="shared" ca="1" si="43"/>
        <v>24593.1</v>
      </c>
      <c r="I273" s="1" t="str">
        <f t="shared" ca="1" si="44"/>
        <v>CC102</v>
      </c>
    </row>
    <row r="274" spans="1:9" x14ac:dyDescent="0.3">
      <c r="A274" s="2">
        <f t="shared" ca="1" si="36"/>
        <v>45635</v>
      </c>
      <c r="B274" s="1" t="str">
        <f t="shared" ca="1" si="37"/>
        <v>Sales</v>
      </c>
      <c r="C274" s="1" t="str">
        <f t="shared" ca="1" si="38"/>
        <v>Travel</v>
      </c>
      <c r="D274" s="1" t="str">
        <f t="shared" ca="1" si="39"/>
        <v>Rapid Transport</v>
      </c>
      <c r="E274" s="1">
        <f t="shared" ca="1" si="40"/>
        <v>34426</v>
      </c>
      <c r="F274" s="1">
        <f t="shared" ca="1" si="41"/>
        <v>5</v>
      </c>
      <c r="G274" s="1">
        <f t="shared" ca="1" si="42"/>
        <v>1721.3</v>
      </c>
      <c r="H274" s="1">
        <f t="shared" ca="1" si="43"/>
        <v>36147.300000000003</v>
      </c>
      <c r="I274" s="1" t="str">
        <f t="shared" ca="1" si="44"/>
        <v>CC102</v>
      </c>
    </row>
    <row r="275" spans="1:9" hidden="1" x14ac:dyDescent="0.3">
      <c r="A275" s="2">
        <f t="shared" ca="1" si="36"/>
        <v>45012</v>
      </c>
      <c r="B275" s="1" t="str">
        <f t="shared" ca="1" si="37"/>
        <v>Operations</v>
      </c>
      <c r="C275" s="1" t="str">
        <f t="shared" ca="1" si="38"/>
        <v>Travel</v>
      </c>
      <c r="D275" s="1" t="str">
        <f t="shared" ca="1" si="39"/>
        <v>Urban Office Mart</v>
      </c>
      <c r="E275" s="1">
        <f t="shared" ca="1" si="40"/>
        <v>34651</v>
      </c>
      <c r="F275" s="1">
        <f t="shared" ca="1" si="41"/>
        <v>5</v>
      </c>
      <c r="G275" s="1">
        <f t="shared" ca="1" si="42"/>
        <v>1732.55</v>
      </c>
      <c r="H275" s="1">
        <f t="shared" ca="1" si="43"/>
        <v>36383.550000000003</v>
      </c>
      <c r="I275" s="1" t="str">
        <f t="shared" ca="1" si="44"/>
        <v>CC105</v>
      </c>
    </row>
    <row r="276" spans="1:9" x14ac:dyDescent="0.3">
      <c r="A276" s="2">
        <f t="shared" ca="1" si="36"/>
        <v>45109</v>
      </c>
      <c r="B276" s="1" t="str">
        <f t="shared" ca="1" si="37"/>
        <v>IT</v>
      </c>
      <c r="C276" s="1" t="str">
        <f t="shared" ca="1" si="38"/>
        <v>Software</v>
      </c>
      <c r="D276" s="1" t="str">
        <f t="shared" ca="1" si="39"/>
        <v>Star Technologies</v>
      </c>
      <c r="E276" s="1">
        <f t="shared" ca="1" si="40"/>
        <v>23484</v>
      </c>
      <c r="F276" s="1">
        <f t="shared" ca="1" si="41"/>
        <v>12</v>
      </c>
      <c r="G276" s="1">
        <f t="shared" ca="1" si="42"/>
        <v>2818.08</v>
      </c>
      <c r="H276" s="1">
        <f t="shared" ca="1" si="43"/>
        <v>26302.080000000002</v>
      </c>
      <c r="I276" s="1" t="str">
        <f t="shared" ca="1" si="44"/>
        <v>CC106</v>
      </c>
    </row>
    <row r="277" spans="1:9" hidden="1" x14ac:dyDescent="0.3">
      <c r="A277" s="2">
        <f t="shared" ca="1" si="36"/>
        <v>45267</v>
      </c>
      <c r="B277" s="1" t="str">
        <f t="shared" ca="1" si="37"/>
        <v>Sales</v>
      </c>
      <c r="C277" s="1" t="str">
        <f t="shared" ca="1" si="38"/>
        <v>Office Supplies</v>
      </c>
      <c r="D277" s="1" t="str">
        <f t="shared" ca="1" si="39"/>
        <v>QuickFix Services</v>
      </c>
      <c r="E277" s="1">
        <f t="shared" ca="1" si="40"/>
        <v>5736</v>
      </c>
      <c r="F277" s="1">
        <f t="shared" ca="1" si="41"/>
        <v>5</v>
      </c>
      <c r="G277" s="1">
        <f t="shared" ca="1" si="42"/>
        <v>286.8</v>
      </c>
      <c r="H277" s="1">
        <f t="shared" ca="1" si="43"/>
        <v>6022.8</v>
      </c>
      <c r="I277" s="1" t="str">
        <f t="shared" ca="1" si="44"/>
        <v>CC101</v>
      </c>
    </row>
    <row r="278" spans="1:9" x14ac:dyDescent="0.3">
      <c r="A278" s="2">
        <f t="shared" ca="1" si="36"/>
        <v>45030</v>
      </c>
      <c r="B278" s="1" t="str">
        <f t="shared" ca="1" si="37"/>
        <v>Procurement</v>
      </c>
      <c r="C278" s="1" t="str">
        <f t="shared" ca="1" si="38"/>
        <v>Transportation</v>
      </c>
      <c r="D278" s="1" t="str">
        <f t="shared" ca="1" si="39"/>
        <v>Universal Systems</v>
      </c>
      <c r="E278" s="1">
        <f t="shared" ca="1" si="40"/>
        <v>38353</v>
      </c>
      <c r="F278" s="1">
        <f t="shared" ca="1" si="41"/>
        <v>5</v>
      </c>
      <c r="G278" s="1">
        <f t="shared" ca="1" si="42"/>
        <v>1917.65</v>
      </c>
      <c r="H278" s="1">
        <f t="shared" ca="1" si="43"/>
        <v>40270.65</v>
      </c>
      <c r="I278" s="1" t="str">
        <f t="shared" ca="1" si="44"/>
        <v>CC101</v>
      </c>
    </row>
    <row r="279" spans="1:9" hidden="1" x14ac:dyDescent="0.3">
      <c r="A279" s="2">
        <f t="shared" ca="1" si="36"/>
        <v>45077</v>
      </c>
      <c r="B279" s="1" t="str">
        <f t="shared" ca="1" si="37"/>
        <v>Marketing</v>
      </c>
      <c r="C279" s="1" t="str">
        <f t="shared" ca="1" si="38"/>
        <v>Office Supplies</v>
      </c>
      <c r="D279" s="1" t="str">
        <f t="shared" ca="1" si="39"/>
        <v>Infoserve Pvt Ltd</v>
      </c>
      <c r="E279" s="1">
        <f t="shared" ca="1" si="40"/>
        <v>22781</v>
      </c>
      <c r="F279" s="1">
        <f t="shared" ca="1" si="41"/>
        <v>12</v>
      </c>
      <c r="G279" s="1">
        <f t="shared" ca="1" si="42"/>
        <v>2733.72</v>
      </c>
      <c r="H279" s="1">
        <f t="shared" ca="1" si="43"/>
        <v>25514.720000000001</v>
      </c>
      <c r="I279" s="1" t="str">
        <f t="shared" ca="1" si="44"/>
        <v>CC101</v>
      </c>
    </row>
    <row r="280" spans="1:9" x14ac:dyDescent="0.3">
      <c r="A280" s="2">
        <f t="shared" ca="1" si="36"/>
        <v>44983</v>
      </c>
      <c r="B280" s="1" t="str">
        <f t="shared" ca="1" si="37"/>
        <v>HR</v>
      </c>
      <c r="C280" s="1" t="str">
        <f t="shared" ca="1" si="38"/>
        <v>Miscellaneous</v>
      </c>
      <c r="D280" s="1" t="str">
        <f t="shared" ca="1" si="39"/>
        <v>QuickFix Services</v>
      </c>
      <c r="E280" s="1">
        <f t="shared" ca="1" si="40"/>
        <v>49591</v>
      </c>
      <c r="F280" s="1">
        <f t="shared" ca="1" si="41"/>
        <v>12</v>
      </c>
      <c r="G280" s="1">
        <f t="shared" ca="1" si="42"/>
        <v>5950.92</v>
      </c>
      <c r="H280" s="1">
        <f t="shared" ca="1" si="43"/>
        <v>55541.919999999998</v>
      </c>
      <c r="I280" s="1" t="str">
        <f t="shared" ca="1" si="44"/>
        <v>CC104</v>
      </c>
    </row>
    <row r="281" spans="1:9" hidden="1" x14ac:dyDescent="0.3">
      <c r="A281" s="2">
        <f t="shared" ca="1" si="36"/>
        <v>45280</v>
      </c>
      <c r="B281" s="1" t="str">
        <f t="shared" ca="1" si="37"/>
        <v>Marketing</v>
      </c>
      <c r="C281" s="1" t="str">
        <f t="shared" ca="1" si="38"/>
        <v>Maintenance</v>
      </c>
      <c r="D281" s="1" t="str">
        <f t="shared" ca="1" si="39"/>
        <v>Universal Systems</v>
      </c>
      <c r="E281" s="1">
        <f t="shared" ca="1" si="40"/>
        <v>9879</v>
      </c>
      <c r="F281" s="1">
        <f t="shared" ca="1" si="41"/>
        <v>12</v>
      </c>
      <c r="G281" s="1">
        <f t="shared" ca="1" si="42"/>
        <v>1185.48</v>
      </c>
      <c r="H281" s="1">
        <f t="shared" ca="1" si="43"/>
        <v>11064.48</v>
      </c>
      <c r="I281" s="1" t="str">
        <f t="shared" ca="1" si="44"/>
        <v>CC105</v>
      </c>
    </row>
    <row r="282" spans="1:9" x14ac:dyDescent="0.3">
      <c r="A282" s="2">
        <f t="shared" ca="1" si="36"/>
        <v>45127</v>
      </c>
      <c r="B282" s="1" t="str">
        <f t="shared" ca="1" si="37"/>
        <v>Admin</v>
      </c>
      <c r="C282" s="1" t="str">
        <f t="shared" ca="1" si="38"/>
        <v>Office Supplies</v>
      </c>
      <c r="D282" s="1" t="str">
        <f t="shared" ca="1" si="39"/>
        <v>Star Technologies</v>
      </c>
      <c r="E282" s="1">
        <f t="shared" ca="1" si="40"/>
        <v>41783</v>
      </c>
      <c r="F282" s="1">
        <f t="shared" ca="1" si="41"/>
        <v>12</v>
      </c>
      <c r="G282" s="1">
        <f t="shared" ca="1" si="42"/>
        <v>5013.96</v>
      </c>
      <c r="H282" s="1">
        <f t="shared" ca="1" si="43"/>
        <v>46796.959999999999</v>
      </c>
      <c r="I282" s="1" t="str">
        <f t="shared" ca="1" si="44"/>
        <v>CC102</v>
      </c>
    </row>
    <row r="283" spans="1:9" hidden="1" x14ac:dyDescent="0.3">
      <c r="A283" s="2">
        <f t="shared" ca="1" si="36"/>
        <v>45064</v>
      </c>
      <c r="B283" s="1" t="str">
        <f t="shared" ca="1" si="37"/>
        <v>IT</v>
      </c>
      <c r="C283" s="1" t="str">
        <f t="shared" ca="1" si="38"/>
        <v>Training</v>
      </c>
      <c r="D283" s="1" t="str">
        <f t="shared" ca="1" si="39"/>
        <v>Skyline Marketing</v>
      </c>
      <c r="E283" s="1">
        <f t="shared" ca="1" si="40"/>
        <v>23333</v>
      </c>
      <c r="F283" s="1">
        <f t="shared" ca="1" si="41"/>
        <v>18</v>
      </c>
      <c r="G283" s="1">
        <f t="shared" ca="1" si="42"/>
        <v>4199.9399999999996</v>
      </c>
      <c r="H283" s="1">
        <f t="shared" ca="1" si="43"/>
        <v>27532.94</v>
      </c>
      <c r="I283" s="1" t="str">
        <f t="shared" ca="1" si="44"/>
        <v>CC105</v>
      </c>
    </row>
    <row r="284" spans="1:9" hidden="1" x14ac:dyDescent="0.3">
      <c r="A284" s="2">
        <f t="shared" ca="1" si="36"/>
        <v>44954</v>
      </c>
      <c r="B284" s="1" t="str">
        <f t="shared" ca="1" si="37"/>
        <v>Finance</v>
      </c>
      <c r="C284" s="1" t="str">
        <f t="shared" ca="1" si="38"/>
        <v>Utilities</v>
      </c>
      <c r="D284" s="1" t="str">
        <f t="shared" ca="1" si="39"/>
        <v>Skyline Marketing</v>
      </c>
      <c r="E284" s="1">
        <f t="shared" ca="1" si="40"/>
        <v>12296</v>
      </c>
      <c r="F284" s="1">
        <f t="shared" ca="1" si="41"/>
        <v>5</v>
      </c>
      <c r="G284" s="1">
        <f t="shared" ca="1" si="42"/>
        <v>614.79999999999995</v>
      </c>
      <c r="H284" s="1">
        <f t="shared" ca="1" si="43"/>
        <v>12910.8</v>
      </c>
      <c r="I284" s="1" t="str">
        <f t="shared" ca="1" si="44"/>
        <v>CC106</v>
      </c>
    </row>
    <row r="285" spans="1:9" hidden="1" x14ac:dyDescent="0.3">
      <c r="A285" s="2">
        <f t="shared" ca="1" si="36"/>
        <v>45214</v>
      </c>
      <c r="B285" s="1" t="str">
        <f t="shared" ca="1" si="37"/>
        <v>Finance</v>
      </c>
      <c r="C285" s="1" t="str">
        <f t="shared" ca="1" si="38"/>
        <v>Software</v>
      </c>
      <c r="D285" s="1" t="str">
        <f t="shared" ca="1" si="39"/>
        <v>Bright Solutions</v>
      </c>
      <c r="E285" s="1">
        <f t="shared" ca="1" si="40"/>
        <v>10052</v>
      </c>
      <c r="F285" s="1">
        <f t="shared" ca="1" si="41"/>
        <v>12</v>
      </c>
      <c r="G285" s="1">
        <f t="shared" ca="1" si="42"/>
        <v>1206.24</v>
      </c>
      <c r="H285" s="1">
        <f t="shared" ca="1" si="43"/>
        <v>11258.24</v>
      </c>
      <c r="I285" s="1" t="str">
        <f t="shared" ca="1" si="44"/>
        <v>CC103</v>
      </c>
    </row>
    <row r="286" spans="1:9" x14ac:dyDescent="0.3">
      <c r="A286" s="2">
        <f t="shared" ca="1" si="36"/>
        <v>45239</v>
      </c>
      <c r="B286" s="1" t="str">
        <f t="shared" ca="1" si="37"/>
        <v>Operations</v>
      </c>
      <c r="C286" s="1" t="str">
        <f t="shared" ca="1" si="38"/>
        <v>Training</v>
      </c>
      <c r="D286" s="1" t="str">
        <f t="shared" ca="1" si="39"/>
        <v>Rapid Transport</v>
      </c>
      <c r="E286" s="1">
        <f t="shared" ca="1" si="40"/>
        <v>39186</v>
      </c>
      <c r="F286" s="1">
        <f t="shared" ca="1" si="41"/>
        <v>12</v>
      </c>
      <c r="G286" s="1">
        <f t="shared" ca="1" si="42"/>
        <v>4702.32</v>
      </c>
      <c r="H286" s="1">
        <f t="shared" ca="1" si="43"/>
        <v>43888.32</v>
      </c>
      <c r="I286" s="1" t="str">
        <f t="shared" ca="1" si="44"/>
        <v>CC101</v>
      </c>
    </row>
    <row r="287" spans="1:9" x14ac:dyDescent="0.3">
      <c r="A287" s="2">
        <f t="shared" ca="1" si="36"/>
        <v>45371</v>
      </c>
      <c r="B287" s="1" t="str">
        <f t="shared" ca="1" si="37"/>
        <v>HR</v>
      </c>
      <c r="C287" s="1" t="str">
        <f t="shared" ca="1" si="38"/>
        <v>Office Supplies</v>
      </c>
      <c r="D287" s="1" t="str">
        <f t="shared" ca="1" si="39"/>
        <v>Star Technologies</v>
      </c>
      <c r="E287" s="1">
        <f t="shared" ca="1" si="40"/>
        <v>32687</v>
      </c>
      <c r="F287" s="1">
        <f t="shared" ca="1" si="41"/>
        <v>18</v>
      </c>
      <c r="G287" s="1">
        <f t="shared" ca="1" si="42"/>
        <v>5883.66</v>
      </c>
      <c r="H287" s="1">
        <f t="shared" ca="1" si="43"/>
        <v>38570.660000000003</v>
      </c>
      <c r="I287" s="1" t="str">
        <f t="shared" ca="1" si="44"/>
        <v>CC106</v>
      </c>
    </row>
    <row r="288" spans="1:9" hidden="1" x14ac:dyDescent="0.3">
      <c r="A288" s="2">
        <f t="shared" ca="1" si="36"/>
        <v>45516</v>
      </c>
      <c r="B288" s="1" t="str">
        <f t="shared" ca="1" si="37"/>
        <v>IT</v>
      </c>
      <c r="C288" s="1" t="str">
        <f t="shared" ca="1" si="38"/>
        <v>Office Supplies</v>
      </c>
      <c r="D288" s="1" t="str">
        <f t="shared" ca="1" si="39"/>
        <v>Urban Office Mart</v>
      </c>
      <c r="E288" s="1">
        <f t="shared" ca="1" si="40"/>
        <v>28430</v>
      </c>
      <c r="F288" s="1">
        <f t="shared" ca="1" si="41"/>
        <v>12</v>
      </c>
      <c r="G288" s="1">
        <f t="shared" ca="1" si="42"/>
        <v>3411.6</v>
      </c>
      <c r="H288" s="1">
        <f t="shared" ca="1" si="43"/>
        <v>31841.599999999999</v>
      </c>
      <c r="I288" s="1" t="str">
        <f t="shared" ca="1" si="44"/>
        <v>CC104</v>
      </c>
    </row>
    <row r="289" spans="1:9" hidden="1" x14ac:dyDescent="0.3">
      <c r="A289" s="2">
        <f t="shared" ca="1" si="36"/>
        <v>45116</v>
      </c>
      <c r="B289" s="1" t="str">
        <f t="shared" ca="1" si="37"/>
        <v>Sales</v>
      </c>
      <c r="C289" s="1" t="str">
        <f t="shared" ca="1" si="38"/>
        <v>Software</v>
      </c>
      <c r="D289" s="1" t="str">
        <f t="shared" ca="1" si="39"/>
        <v>Bright Solutions</v>
      </c>
      <c r="E289" s="1">
        <f t="shared" ca="1" si="40"/>
        <v>44535</v>
      </c>
      <c r="F289" s="1">
        <f t="shared" ca="1" si="41"/>
        <v>18</v>
      </c>
      <c r="G289" s="1">
        <f t="shared" ca="1" si="42"/>
        <v>8016.3</v>
      </c>
      <c r="H289" s="1">
        <f t="shared" ca="1" si="43"/>
        <v>52551.3</v>
      </c>
      <c r="I289" s="1" t="str">
        <f t="shared" ca="1" si="44"/>
        <v>CC101</v>
      </c>
    </row>
    <row r="290" spans="1:9" hidden="1" x14ac:dyDescent="0.3">
      <c r="A290" s="2">
        <f t="shared" ca="1" si="36"/>
        <v>45603</v>
      </c>
      <c r="B290" s="1" t="str">
        <f t="shared" ca="1" si="37"/>
        <v>Marketing</v>
      </c>
      <c r="C290" s="1" t="str">
        <f t="shared" ca="1" si="38"/>
        <v>Transportation</v>
      </c>
      <c r="D290" s="1" t="str">
        <f t="shared" ca="1" si="39"/>
        <v>Bright Solutions</v>
      </c>
      <c r="E290" s="1">
        <f t="shared" ca="1" si="40"/>
        <v>12867</v>
      </c>
      <c r="F290" s="1">
        <f t="shared" ca="1" si="41"/>
        <v>12</v>
      </c>
      <c r="G290" s="1">
        <f t="shared" ca="1" si="42"/>
        <v>1544.04</v>
      </c>
      <c r="H290" s="1">
        <f t="shared" ca="1" si="43"/>
        <v>14411.04</v>
      </c>
      <c r="I290" s="1" t="str">
        <f t="shared" ca="1" si="44"/>
        <v>CC104</v>
      </c>
    </row>
    <row r="291" spans="1:9" hidden="1" x14ac:dyDescent="0.3">
      <c r="A291" s="2">
        <f t="shared" ca="1" si="36"/>
        <v>45428</v>
      </c>
      <c r="B291" s="1" t="str">
        <f t="shared" ca="1" si="37"/>
        <v>IT</v>
      </c>
      <c r="C291" s="1" t="str">
        <f t="shared" ca="1" si="38"/>
        <v>Marketing Spend</v>
      </c>
      <c r="D291" s="1" t="str">
        <f t="shared" ca="1" si="39"/>
        <v>QuickFix Services</v>
      </c>
      <c r="E291" s="1">
        <f t="shared" ca="1" si="40"/>
        <v>18220</v>
      </c>
      <c r="F291" s="1">
        <f t="shared" ca="1" si="41"/>
        <v>18</v>
      </c>
      <c r="G291" s="1">
        <f t="shared" ca="1" si="42"/>
        <v>3279.6</v>
      </c>
      <c r="H291" s="1">
        <f t="shared" ca="1" si="43"/>
        <v>21499.599999999999</v>
      </c>
      <c r="I291" s="1" t="str">
        <f t="shared" ca="1" si="44"/>
        <v>CC103</v>
      </c>
    </row>
    <row r="292" spans="1:9" x14ac:dyDescent="0.3">
      <c r="A292" s="2">
        <f t="shared" ca="1" si="36"/>
        <v>45603</v>
      </c>
      <c r="B292" s="1" t="str">
        <f t="shared" ca="1" si="37"/>
        <v>Operations</v>
      </c>
      <c r="C292" s="1" t="str">
        <f t="shared" ca="1" si="38"/>
        <v>Maintenance</v>
      </c>
      <c r="D292" s="1" t="str">
        <f t="shared" ca="1" si="39"/>
        <v>Skyline Marketing</v>
      </c>
      <c r="E292" s="1">
        <f t="shared" ca="1" si="40"/>
        <v>44340</v>
      </c>
      <c r="F292" s="1">
        <f t="shared" ca="1" si="41"/>
        <v>5</v>
      </c>
      <c r="G292" s="1">
        <f t="shared" ca="1" si="42"/>
        <v>2217</v>
      </c>
      <c r="H292" s="1">
        <f t="shared" ca="1" si="43"/>
        <v>46557</v>
      </c>
      <c r="I292" s="1" t="str">
        <f t="shared" ca="1" si="44"/>
        <v>CC104</v>
      </c>
    </row>
    <row r="293" spans="1:9" hidden="1" x14ac:dyDescent="0.3">
      <c r="A293" s="2">
        <f t="shared" ca="1" si="36"/>
        <v>45435</v>
      </c>
      <c r="B293" s="1" t="str">
        <f t="shared" ca="1" si="37"/>
        <v>Operations</v>
      </c>
      <c r="C293" s="1" t="str">
        <f t="shared" ca="1" si="38"/>
        <v>Training</v>
      </c>
      <c r="D293" s="1" t="str">
        <f t="shared" ca="1" si="39"/>
        <v>QuickFix Services</v>
      </c>
      <c r="E293" s="1">
        <f t="shared" ca="1" si="40"/>
        <v>23187</v>
      </c>
      <c r="F293" s="1">
        <f t="shared" ca="1" si="41"/>
        <v>12</v>
      </c>
      <c r="G293" s="1">
        <f t="shared" ca="1" si="42"/>
        <v>2782.44</v>
      </c>
      <c r="H293" s="1">
        <f t="shared" ca="1" si="43"/>
        <v>25969.439999999999</v>
      </c>
      <c r="I293" s="1" t="str">
        <f t="shared" ca="1" si="44"/>
        <v>CC105</v>
      </c>
    </row>
    <row r="294" spans="1:9" hidden="1" x14ac:dyDescent="0.3">
      <c r="A294" s="2">
        <f t="shared" ca="1" si="36"/>
        <v>45352</v>
      </c>
      <c r="B294" s="1" t="str">
        <f t="shared" ca="1" si="37"/>
        <v>Marketing</v>
      </c>
      <c r="C294" s="1" t="str">
        <f t="shared" ca="1" si="38"/>
        <v>Office Supplies</v>
      </c>
      <c r="D294" s="1" t="str">
        <f t="shared" ca="1" si="39"/>
        <v>Bright Solutions</v>
      </c>
      <c r="E294" s="1">
        <f t="shared" ca="1" si="40"/>
        <v>18181</v>
      </c>
      <c r="F294" s="1">
        <f t="shared" ca="1" si="41"/>
        <v>18</v>
      </c>
      <c r="G294" s="1">
        <f t="shared" ca="1" si="42"/>
        <v>3272.58</v>
      </c>
      <c r="H294" s="1">
        <f t="shared" ca="1" si="43"/>
        <v>21453.58</v>
      </c>
      <c r="I294" s="1" t="str">
        <f t="shared" ca="1" si="44"/>
        <v>CC105</v>
      </c>
    </row>
    <row r="295" spans="1:9" hidden="1" x14ac:dyDescent="0.3">
      <c r="A295" s="2">
        <f t="shared" ca="1" si="36"/>
        <v>45534</v>
      </c>
      <c r="B295" s="1" t="str">
        <f t="shared" ca="1" si="37"/>
        <v>Finance</v>
      </c>
      <c r="C295" s="1" t="str">
        <f t="shared" ca="1" si="38"/>
        <v>Travel</v>
      </c>
      <c r="D295" s="1" t="str">
        <f t="shared" ca="1" si="39"/>
        <v>Infoserve Pvt Ltd</v>
      </c>
      <c r="E295" s="1">
        <f t="shared" ca="1" si="40"/>
        <v>24266</v>
      </c>
      <c r="F295" s="1">
        <f t="shared" ca="1" si="41"/>
        <v>18</v>
      </c>
      <c r="G295" s="1">
        <f t="shared" ca="1" si="42"/>
        <v>4367.88</v>
      </c>
      <c r="H295" s="1">
        <f t="shared" ca="1" si="43"/>
        <v>28633.88</v>
      </c>
      <c r="I295" s="1" t="str">
        <f t="shared" ca="1" si="44"/>
        <v>CC101</v>
      </c>
    </row>
    <row r="296" spans="1:9" x14ac:dyDescent="0.3">
      <c r="A296" s="2">
        <f t="shared" ca="1" si="36"/>
        <v>45043</v>
      </c>
      <c r="B296" s="1" t="str">
        <f t="shared" ca="1" si="37"/>
        <v>HR</v>
      </c>
      <c r="C296" s="1" t="str">
        <f t="shared" ca="1" si="38"/>
        <v>Software</v>
      </c>
      <c r="D296" s="1" t="str">
        <f t="shared" ca="1" si="39"/>
        <v>Skyline Marketing</v>
      </c>
      <c r="E296" s="1">
        <f t="shared" ca="1" si="40"/>
        <v>28060</v>
      </c>
      <c r="F296" s="1">
        <f t="shared" ca="1" si="41"/>
        <v>12</v>
      </c>
      <c r="G296" s="1">
        <f t="shared" ca="1" si="42"/>
        <v>3367.2</v>
      </c>
      <c r="H296" s="1">
        <f t="shared" ca="1" si="43"/>
        <v>31427.200000000001</v>
      </c>
      <c r="I296" s="1" t="str">
        <f t="shared" ca="1" si="44"/>
        <v>CC103</v>
      </c>
    </row>
    <row r="297" spans="1:9" x14ac:dyDescent="0.3">
      <c r="A297" s="2">
        <f t="shared" ca="1" si="36"/>
        <v>45037</v>
      </c>
      <c r="B297" s="1" t="str">
        <f t="shared" ca="1" si="37"/>
        <v>Sales</v>
      </c>
      <c r="C297" s="1" t="str">
        <f t="shared" ca="1" si="38"/>
        <v>Transportation</v>
      </c>
      <c r="D297" s="1" t="str">
        <f t="shared" ca="1" si="39"/>
        <v>Rapid Transport</v>
      </c>
      <c r="E297" s="1">
        <f t="shared" ca="1" si="40"/>
        <v>49663</v>
      </c>
      <c r="F297" s="1">
        <f t="shared" ca="1" si="41"/>
        <v>5</v>
      </c>
      <c r="G297" s="1">
        <f t="shared" ca="1" si="42"/>
        <v>2483.15</v>
      </c>
      <c r="H297" s="1">
        <f t="shared" ca="1" si="43"/>
        <v>52146.15</v>
      </c>
      <c r="I297" s="1" t="str">
        <f t="shared" ca="1" si="44"/>
        <v>CC105</v>
      </c>
    </row>
    <row r="298" spans="1:9" x14ac:dyDescent="0.3">
      <c r="A298" s="2">
        <f t="shared" ca="1" si="36"/>
        <v>45180</v>
      </c>
      <c r="B298" s="1" t="str">
        <f t="shared" ca="1" si="37"/>
        <v>Sales</v>
      </c>
      <c r="C298" s="1" t="str">
        <f t="shared" ca="1" si="38"/>
        <v>Miscellaneous</v>
      </c>
      <c r="D298" s="1" t="str">
        <f t="shared" ca="1" si="39"/>
        <v>Infoserve Pvt Ltd</v>
      </c>
      <c r="E298" s="1">
        <f t="shared" ca="1" si="40"/>
        <v>18164</v>
      </c>
      <c r="F298" s="1">
        <f t="shared" ca="1" si="41"/>
        <v>18</v>
      </c>
      <c r="G298" s="1">
        <f t="shared" ca="1" si="42"/>
        <v>3269.52</v>
      </c>
      <c r="H298" s="1">
        <f t="shared" ca="1" si="43"/>
        <v>21433.52</v>
      </c>
      <c r="I298" s="1" t="str">
        <f t="shared" ca="1" si="44"/>
        <v>CC102</v>
      </c>
    </row>
    <row r="299" spans="1:9" x14ac:dyDescent="0.3">
      <c r="A299" s="2">
        <f t="shared" ca="1" si="36"/>
        <v>45595</v>
      </c>
      <c r="B299" s="1" t="str">
        <f t="shared" ca="1" si="37"/>
        <v>IT</v>
      </c>
      <c r="C299" s="1" t="str">
        <f t="shared" ca="1" si="38"/>
        <v>Salaries</v>
      </c>
      <c r="D299" s="1" t="str">
        <f t="shared" ca="1" si="39"/>
        <v>Alpha Logistics</v>
      </c>
      <c r="E299" s="1">
        <f t="shared" ca="1" si="40"/>
        <v>15173</v>
      </c>
      <c r="F299" s="1">
        <f t="shared" ca="1" si="41"/>
        <v>18</v>
      </c>
      <c r="G299" s="1">
        <f t="shared" ca="1" si="42"/>
        <v>2731.14</v>
      </c>
      <c r="H299" s="1">
        <f t="shared" ca="1" si="43"/>
        <v>17904.14</v>
      </c>
      <c r="I299" s="1" t="str">
        <f t="shared" ca="1" si="44"/>
        <v>CC103</v>
      </c>
    </row>
    <row r="300" spans="1:9" x14ac:dyDescent="0.3">
      <c r="A300" s="2">
        <f t="shared" ca="1" si="36"/>
        <v>45392</v>
      </c>
      <c r="B300" s="1" t="str">
        <f t="shared" ca="1" si="37"/>
        <v>Operations</v>
      </c>
      <c r="C300" s="1" t="str">
        <f t="shared" ca="1" si="38"/>
        <v>Marketing Spend</v>
      </c>
      <c r="D300" s="1" t="str">
        <f t="shared" ca="1" si="39"/>
        <v>Alpha Logistics</v>
      </c>
      <c r="E300" s="1">
        <f t="shared" ca="1" si="40"/>
        <v>32109</v>
      </c>
      <c r="F300" s="1">
        <f t="shared" ca="1" si="41"/>
        <v>18</v>
      </c>
      <c r="G300" s="1">
        <f t="shared" ca="1" si="42"/>
        <v>5779.62</v>
      </c>
      <c r="H300" s="1">
        <f t="shared" ca="1" si="43"/>
        <v>37888.620000000003</v>
      </c>
      <c r="I300" s="1" t="str">
        <f t="shared" ca="1" si="44"/>
        <v>CC105</v>
      </c>
    </row>
    <row r="301" spans="1:9" hidden="1" x14ac:dyDescent="0.3">
      <c r="A301" s="2">
        <f t="shared" ca="1" si="36"/>
        <v>45510</v>
      </c>
      <c r="B301" s="1" t="str">
        <f t="shared" ca="1" si="37"/>
        <v>Sales</v>
      </c>
      <c r="C301" s="1" t="str">
        <f t="shared" ca="1" si="38"/>
        <v>Software</v>
      </c>
      <c r="D301" s="1" t="str">
        <f t="shared" ca="1" si="39"/>
        <v>Global Traders</v>
      </c>
      <c r="E301" s="1">
        <f t="shared" ca="1" si="40"/>
        <v>26107</v>
      </c>
      <c r="F301" s="1">
        <f t="shared" ca="1" si="41"/>
        <v>5</v>
      </c>
      <c r="G301" s="1">
        <f t="shared" ca="1" si="42"/>
        <v>1305.3499999999999</v>
      </c>
      <c r="H301" s="1">
        <f t="shared" ca="1" si="43"/>
        <v>27412.35</v>
      </c>
      <c r="I301" s="1" t="str">
        <f t="shared" ca="1" si="44"/>
        <v>CC106</v>
      </c>
    </row>
    <row r="302" spans="1:9" hidden="1" x14ac:dyDescent="0.3">
      <c r="A302" s="2">
        <f t="shared" ca="1" si="36"/>
        <v>45450</v>
      </c>
      <c r="B302" s="1" t="str">
        <f t="shared" ca="1" si="37"/>
        <v>Marketing</v>
      </c>
      <c r="C302" s="1" t="str">
        <f t="shared" ca="1" si="38"/>
        <v>Miscellaneous</v>
      </c>
      <c r="D302" s="1" t="str">
        <f t="shared" ca="1" si="39"/>
        <v>Skyline Marketing</v>
      </c>
      <c r="E302" s="1">
        <f t="shared" ca="1" si="40"/>
        <v>27327</v>
      </c>
      <c r="F302" s="1">
        <f t="shared" ca="1" si="41"/>
        <v>5</v>
      </c>
      <c r="G302" s="1">
        <f t="shared" ca="1" si="42"/>
        <v>1366.35</v>
      </c>
      <c r="H302" s="1">
        <f t="shared" ca="1" si="43"/>
        <v>28693.35</v>
      </c>
      <c r="I302" s="1" t="str">
        <f t="shared" ca="1" si="44"/>
        <v>CC105</v>
      </c>
    </row>
    <row r="303" spans="1:9" x14ac:dyDescent="0.3">
      <c r="A303" s="2">
        <f t="shared" ca="1" si="36"/>
        <v>45273</v>
      </c>
      <c r="B303" s="1" t="str">
        <f t="shared" ca="1" si="37"/>
        <v>Procurement</v>
      </c>
      <c r="C303" s="1" t="str">
        <f t="shared" ca="1" si="38"/>
        <v>Marketing Spend</v>
      </c>
      <c r="D303" s="1" t="str">
        <f t="shared" ca="1" si="39"/>
        <v>Bright Solutions</v>
      </c>
      <c r="E303" s="1">
        <f t="shared" ca="1" si="40"/>
        <v>9190</v>
      </c>
      <c r="F303" s="1">
        <f t="shared" ca="1" si="41"/>
        <v>18</v>
      </c>
      <c r="G303" s="1">
        <f t="shared" ca="1" si="42"/>
        <v>1654.2</v>
      </c>
      <c r="H303" s="1">
        <f t="shared" ca="1" si="43"/>
        <v>10844.2</v>
      </c>
      <c r="I303" s="1" t="str">
        <f t="shared" ca="1" si="44"/>
        <v>CC102</v>
      </c>
    </row>
    <row r="304" spans="1:9" x14ac:dyDescent="0.3">
      <c r="A304" s="2">
        <f t="shared" ca="1" si="36"/>
        <v>45004</v>
      </c>
      <c r="B304" s="1" t="str">
        <f t="shared" ca="1" si="37"/>
        <v>IT</v>
      </c>
      <c r="C304" s="1" t="str">
        <f t="shared" ca="1" si="38"/>
        <v>Marketing Spend</v>
      </c>
      <c r="D304" s="1" t="str">
        <f t="shared" ca="1" si="39"/>
        <v>Rapid Transport</v>
      </c>
      <c r="E304" s="1">
        <f t="shared" ca="1" si="40"/>
        <v>8817</v>
      </c>
      <c r="F304" s="1">
        <f t="shared" ca="1" si="41"/>
        <v>5</v>
      </c>
      <c r="G304" s="1">
        <f t="shared" ca="1" si="42"/>
        <v>440.85</v>
      </c>
      <c r="H304" s="1">
        <f t="shared" ca="1" si="43"/>
        <v>9257.85</v>
      </c>
      <c r="I304" s="1" t="str">
        <f t="shared" ca="1" si="44"/>
        <v>CC103</v>
      </c>
    </row>
    <row r="305" spans="1:9" x14ac:dyDescent="0.3">
      <c r="A305" s="2">
        <f t="shared" ca="1" si="36"/>
        <v>45165</v>
      </c>
      <c r="B305" s="1" t="str">
        <f t="shared" ca="1" si="37"/>
        <v>Procurement</v>
      </c>
      <c r="C305" s="1" t="str">
        <f t="shared" ca="1" si="38"/>
        <v>Software</v>
      </c>
      <c r="D305" s="1" t="str">
        <f t="shared" ca="1" si="39"/>
        <v>Bright Solutions</v>
      </c>
      <c r="E305" s="1">
        <f t="shared" ca="1" si="40"/>
        <v>28223</v>
      </c>
      <c r="F305" s="1">
        <f t="shared" ca="1" si="41"/>
        <v>5</v>
      </c>
      <c r="G305" s="1">
        <f t="shared" ca="1" si="42"/>
        <v>1411.15</v>
      </c>
      <c r="H305" s="1">
        <f t="shared" ca="1" si="43"/>
        <v>29634.15</v>
      </c>
      <c r="I305" s="1" t="str">
        <f t="shared" ca="1" si="44"/>
        <v>CC106</v>
      </c>
    </row>
    <row r="306" spans="1:9" x14ac:dyDescent="0.3">
      <c r="A306" s="2">
        <f t="shared" ca="1" si="36"/>
        <v>45381</v>
      </c>
      <c r="B306" s="1" t="str">
        <f t="shared" ca="1" si="37"/>
        <v>Finance</v>
      </c>
      <c r="C306" s="1" t="str">
        <f t="shared" ca="1" si="38"/>
        <v>Utilities</v>
      </c>
      <c r="D306" s="1" t="str">
        <f t="shared" ca="1" si="39"/>
        <v>QuickFix Services</v>
      </c>
      <c r="E306" s="1">
        <f t="shared" ca="1" si="40"/>
        <v>8836</v>
      </c>
      <c r="F306" s="1">
        <f t="shared" ca="1" si="41"/>
        <v>12</v>
      </c>
      <c r="G306" s="1">
        <f t="shared" ca="1" si="42"/>
        <v>1060.32</v>
      </c>
      <c r="H306" s="1">
        <f t="shared" ca="1" si="43"/>
        <v>9896.32</v>
      </c>
      <c r="I306" s="1" t="str">
        <f t="shared" ca="1" si="44"/>
        <v>CC106</v>
      </c>
    </row>
    <row r="307" spans="1:9" x14ac:dyDescent="0.3">
      <c r="A307" s="2">
        <f t="shared" ca="1" si="36"/>
        <v>45559</v>
      </c>
      <c r="B307" s="1" t="str">
        <f t="shared" ca="1" si="37"/>
        <v>Sales</v>
      </c>
      <c r="C307" s="1" t="str">
        <f t="shared" ca="1" si="38"/>
        <v>Utilities</v>
      </c>
      <c r="D307" s="1" t="str">
        <f t="shared" ca="1" si="39"/>
        <v>Global Traders</v>
      </c>
      <c r="E307" s="1">
        <f t="shared" ca="1" si="40"/>
        <v>3392</v>
      </c>
      <c r="F307" s="1">
        <f t="shared" ca="1" si="41"/>
        <v>12</v>
      </c>
      <c r="G307" s="1">
        <f t="shared" ca="1" si="42"/>
        <v>407.04</v>
      </c>
      <c r="H307" s="1">
        <f t="shared" ca="1" si="43"/>
        <v>3799.04</v>
      </c>
      <c r="I307" s="1" t="str">
        <f t="shared" ca="1" si="44"/>
        <v>CC105</v>
      </c>
    </row>
    <row r="308" spans="1:9" x14ac:dyDescent="0.3">
      <c r="A308" s="2">
        <f t="shared" ca="1" si="36"/>
        <v>45368</v>
      </c>
      <c r="B308" s="1" t="str">
        <f t="shared" ca="1" si="37"/>
        <v>Procurement</v>
      </c>
      <c r="C308" s="1" t="str">
        <f t="shared" ca="1" si="38"/>
        <v>Miscellaneous</v>
      </c>
      <c r="D308" s="1" t="str">
        <f t="shared" ca="1" si="39"/>
        <v>Skyline Marketing</v>
      </c>
      <c r="E308" s="1">
        <f t="shared" ca="1" si="40"/>
        <v>36345</v>
      </c>
      <c r="F308" s="1">
        <f t="shared" ca="1" si="41"/>
        <v>5</v>
      </c>
      <c r="G308" s="1">
        <f t="shared" ca="1" si="42"/>
        <v>1817.25</v>
      </c>
      <c r="H308" s="1">
        <f t="shared" ca="1" si="43"/>
        <v>38162.25</v>
      </c>
      <c r="I308" s="1" t="str">
        <f t="shared" ca="1" si="44"/>
        <v>CC101</v>
      </c>
    </row>
    <row r="309" spans="1:9" x14ac:dyDescent="0.3">
      <c r="A309" s="2">
        <f t="shared" ca="1" si="36"/>
        <v>45239</v>
      </c>
      <c r="B309" s="1" t="str">
        <f t="shared" ca="1" si="37"/>
        <v>Finance</v>
      </c>
      <c r="C309" s="1" t="str">
        <f t="shared" ca="1" si="38"/>
        <v>Transportation</v>
      </c>
      <c r="D309" s="1" t="str">
        <f t="shared" ca="1" si="39"/>
        <v>Skyline Marketing</v>
      </c>
      <c r="E309" s="1">
        <f t="shared" ca="1" si="40"/>
        <v>47634</v>
      </c>
      <c r="F309" s="1">
        <f t="shared" ca="1" si="41"/>
        <v>12</v>
      </c>
      <c r="G309" s="1">
        <f t="shared" ca="1" si="42"/>
        <v>5716.08</v>
      </c>
      <c r="H309" s="1">
        <f t="shared" ca="1" si="43"/>
        <v>53350.080000000002</v>
      </c>
      <c r="I309" s="1" t="str">
        <f t="shared" ca="1" si="44"/>
        <v>CC101</v>
      </c>
    </row>
    <row r="310" spans="1:9" hidden="1" x14ac:dyDescent="0.3">
      <c r="A310" s="2">
        <f t="shared" ca="1" si="36"/>
        <v>45384</v>
      </c>
      <c r="B310" s="1" t="str">
        <f t="shared" ca="1" si="37"/>
        <v>Operations</v>
      </c>
      <c r="C310" s="1" t="str">
        <f t="shared" ca="1" si="38"/>
        <v>Utilities</v>
      </c>
      <c r="D310" s="1" t="str">
        <f t="shared" ca="1" si="39"/>
        <v>Universal Systems</v>
      </c>
      <c r="E310" s="1">
        <f t="shared" ca="1" si="40"/>
        <v>43892</v>
      </c>
      <c r="F310" s="1">
        <f t="shared" ca="1" si="41"/>
        <v>12</v>
      </c>
      <c r="G310" s="1">
        <f t="shared" ca="1" si="42"/>
        <v>5267.04</v>
      </c>
      <c r="H310" s="1">
        <f t="shared" ca="1" si="43"/>
        <v>49159.040000000001</v>
      </c>
      <c r="I310" s="1" t="str">
        <f t="shared" ca="1" si="44"/>
        <v>CC106</v>
      </c>
    </row>
    <row r="311" spans="1:9" x14ac:dyDescent="0.3">
      <c r="A311" s="2">
        <f t="shared" ca="1" si="36"/>
        <v>45567</v>
      </c>
      <c r="B311" s="1" t="str">
        <f t="shared" ca="1" si="37"/>
        <v>Finance</v>
      </c>
      <c r="C311" s="1" t="str">
        <f t="shared" ca="1" si="38"/>
        <v>Utilities</v>
      </c>
      <c r="D311" s="1" t="str">
        <f t="shared" ca="1" si="39"/>
        <v>Universal Systems</v>
      </c>
      <c r="E311" s="1">
        <f t="shared" ca="1" si="40"/>
        <v>35782</v>
      </c>
      <c r="F311" s="1">
        <f t="shared" ca="1" si="41"/>
        <v>12</v>
      </c>
      <c r="G311" s="1">
        <f t="shared" ca="1" si="42"/>
        <v>4293.84</v>
      </c>
      <c r="H311" s="1">
        <f t="shared" ca="1" si="43"/>
        <v>40075.839999999997</v>
      </c>
      <c r="I311" s="1" t="str">
        <f t="shared" ca="1" si="44"/>
        <v>CC105</v>
      </c>
    </row>
    <row r="312" spans="1:9" hidden="1" x14ac:dyDescent="0.3">
      <c r="A312" s="2">
        <f t="shared" ca="1" si="36"/>
        <v>45567</v>
      </c>
      <c r="B312" s="1" t="str">
        <f t="shared" ca="1" si="37"/>
        <v>Admin</v>
      </c>
      <c r="C312" s="1" t="str">
        <f t="shared" ca="1" si="38"/>
        <v>Maintenance</v>
      </c>
      <c r="D312" s="1" t="str">
        <f t="shared" ca="1" si="39"/>
        <v>Bright Solutions</v>
      </c>
      <c r="E312" s="1">
        <f t="shared" ca="1" si="40"/>
        <v>7582</v>
      </c>
      <c r="F312" s="1">
        <f t="shared" ca="1" si="41"/>
        <v>12</v>
      </c>
      <c r="G312" s="1">
        <f t="shared" ca="1" si="42"/>
        <v>909.84</v>
      </c>
      <c r="H312" s="1">
        <f t="shared" ca="1" si="43"/>
        <v>8491.84</v>
      </c>
      <c r="I312" s="1" t="str">
        <f t="shared" ca="1" si="44"/>
        <v>CC101</v>
      </c>
    </row>
    <row r="313" spans="1:9" hidden="1" x14ac:dyDescent="0.3">
      <c r="A313" s="2">
        <f t="shared" ca="1" si="36"/>
        <v>45657</v>
      </c>
      <c r="B313" s="1" t="str">
        <f t="shared" ca="1" si="37"/>
        <v>Finance</v>
      </c>
      <c r="C313" s="1" t="str">
        <f t="shared" ca="1" si="38"/>
        <v>Transportation</v>
      </c>
      <c r="D313" s="1" t="str">
        <f t="shared" ca="1" si="39"/>
        <v>Urban Office Mart</v>
      </c>
      <c r="E313" s="1">
        <f t="shared" ca="1" si="40"/>
        <v>4609</v>
      </c>
      <c r="F313" s="1">
        <f t="shared" ca="1" si="41"/>
        <v>12</v>
      </c>
      <c r="G313" s="1">
        <f t="shared" ca="1" si="42"/>
        <v>553.08000000000004</v>
      </c>
      <c r="H313" s="1">
        <f t="shared" ca="1" si="43"/>
        <v>5162.08</v>
      </c>
      <c r="I313" s="1" t="str">
        <f t="shared" ca="1" si="44"/>
        <v>CC103</v>
      </c>
    </row>
    <row r="314" spans="1:9" x14ac:dyDescent="0.3">
      <c r="A314" s="2">
        <f t="shared" ca="1" si="36"/>
        <v>45422</v>
      </c>
      <c r="B314" s="1" t="str">
        <f t="shared" ca="1" si="37"/>
        <v>IT</v>
      </c>
      <c r="C314" s="1" t="str">
        <f t="shared" ca="1" si="38"/>
        <v>Office Supplies</v>
      </c>
      <c r="D314" s="1" t="str">
        <f t="shared" ca="1" si="39"/>
        <v>Rapid Transport</v>
      </c>
      <c r="E314" s="1">
        <f t="shared" ca="1" si="40"/>
        <v>23909</v>
      </c>
      <c r="F314" s="1">
        <f t="shared" ca="1" si="41"/>
        <v>5</v>
      </c>
      <c r="G314" s="1">
        <f t="shared" ca="1" si="42"/>
        <v>1195.45</v>
      </c>
      <c r="H314" s="1">
        <f t="shared" ca="1" si="43"/>
        <v>25104.45</v>
      </c>
      <c r="I314" s="1" t="str">
        <f t="shared" ca="1" si="44"/>
        <v>CC105</v>
      </c>
    </row>
    <row r="315" spans="1:9" hidden="1" x14ac:dyDescent="0.3">
      <c r="A315" s="2">
        <f t="shared" ca="1" si="36"/>
        <v>45467</v>
      </c>
      <c r="B315" s="1" t="str">
        <f t="shared" ca="1" si="37"/>
        <v>IT</v>
      </c>
      <c r="C315" s="1" t="str">
        <f t="shared" ca="1" si="38"/>
        <v>Utilities</v>
      </c>
      <c r="D315" s="1" t="str">
        <f t="shared" ca="1" si="39"/>
        <v>Skyline Marketing</v>
      </c>
      <c r="E315" s="1">
        <f t="shared" ca="1" si="40"/>
        <v>47668</v>
      </c>
      <c r="F315" s="1">
        <f t="shared" ca="1" si="41"/>
        <v>5</v>
      </c>
      <c r="G315" s="1">
        <f t="shared" ca="1" si="42"/>
        <v>2383.4</v>
      </c>
      <c r="H315" s="1">
        <f t="shared" ca="1" si="43"/>
        <v>50051.4</v>
      </c>
      <c r="I315" s="1" t="str">
        <f t="shared" ca="1" si="44"/>
        <v>CC103</v>
      </c>
    </row>
    <row r="316" spans="1:9" x14ac:dyDescent="0.3">
      <c r="A316" s="2">
        <f t="shared" ca="1" si="36"/>
        <v>45310</v>
      </c>
      <c r="B316" s="1" t="str">
        <f t="shared" ca="1" si="37"/>
        <v>Marketing</v>
      </c>
      <c r="C316" s="1" t="str">
        <f t="shared" ca="1" si="38"/>
        <v>Training</v>
      </c>
      <c r="D316" s="1" t="str">
        <f t="shared" ca="1" si="39"/>
        <v>Global Traders</v>
      </c>
      <c r="E316" s="1">
        <f t="shared" ca="1" si="40"/>
        <v>40477</v>
      </c>
      <c r="F316" s="1">
        <f t="shared" ca="1" si="41"/>
        <v>5</v>
      </c>
      <c r="G316" s="1">
        <f t="shared" ca="1" si="42"/>
        <v>2023.85</v>
      </c>
      <c r="H316" s="1">
        <f t="shared" ca="1" si="43"/>
        <v>42500.85</v>
      </c>
      <c r="I316" s="1" t="str">
        <f t="shared" ca="1" si="44"/>
        <v>CC103</v>
      </c>
    </row>
    <row r="317" spans="1:9" hidden="1" x14ac:dyDescent="0.3">
      <c r="A317" s="2">
        <f t="shared" ca="1" si="36"/>
        <v>45459</v>
      </c>
      <c r="B317" s="1" t="str">
        <f t="shared" ca="1" si="37"/>
        <v>Marketing</v>
      </c>
      <c r="C317" s="1" t="str">
        <f t="shared" ca="1" si="38"/>
        <v>Maintenance</v>
      </c>
      <c r="D317" s="1" t="str">
        <f t="shared" ca="1" si="39"/>
        <v>Alpha Logistics</v>
      </c>
      <c r="E317" s="1">
        <f t="shared" ca="1" si="40"/>
        <v>28855</v>
      </c>
      <c r="F317" s="1">
        <f t="shared" ca="1" si="41"/>
        <v>12</v>
      </c>
      <c r="G317" s="1">
        <f t="shared" ca="1" si="42"/>
        <v>3462.6</v>
      </c>
      <c r="H317" s="1">
        <f t="shared" ca="1" si="43"/>
        <v>32317.599999999999</v>
      </c>
      <c r="I317" s="1" t="str">
        <f t="shared" ca="1" si="44"/>
        <v>CC105</v>
      </c>
    </row>
    <row r="318" spans="1:9" x14ac:dyDescent="0.3">
      <c r="A318" s="2">
        <f t="shared" ca="1" si="36"/>
        <v>45225</v>
      </c>
      <c r="B318" s="1" t="str">
        <f t="shared" ca="1" si="37"/>
        <v>Operations</v>
      </c>
      <c r="C318" s="1" t="str">
        <f t="shared" ca="1" si="38"/>
        <v>Marketing Spend</v>
      </c>
      <c r="D318" s="1" t="str">
        <f t="shared" ca="1" si="39"/>
        <v>Universal Systems</v>
      </c>
      <c r="E318" s="1">
        <f t="shared" ca="1" si="40"/>
        <v>26573</v>
      </c>
      <c r="F318" s="1">
        <f t="shared" ca="1" si="41"/>
        <v>12</v>
      </c>
      <c r="G318" s="1">
        <f t="shared" ca="1" si="42"/>
        <v>3188.76</v>
      </c>
      <c r="H318" s="1">
        <f t="shared" ca="1" si="43"/>
        <v>29761.760000000002</v>
      </c>
      <c r="I318" s="1" t="str">
        <f t="shared" ca="1" si="44"/>
        <v>CC105</v>
      </c>
    </row>
    <row r="319" spans="1:9" x14ac:dyDescent="0.3">
      <c r="A319" s="2">
        <f t="shared" ca="1" si="36"/>
        <v>45569</v>
      </c>
      <c r="B319" s="1" t="str">
        <f t="shared" ca="1" si="37"/>
        <v>Procurement</v>
      </c>
      <c r="C319" s="1" t="str">
        <f t="shared" ca="1" si="38"/>
        <v>Software</v>
      </c>
      <c r="D319" s="1" t="str">
        <f t="shared" ca="1" si="39"/>
        <v>Urban Office Mart</v>
      </c>
      <c r="E319" s="1">
        <f t="shared" ca="1" si="40"/>
        <v>21005</v>
      </c>
      <c r="F319" s="1">
        <f t="shared" ca="1" si="41"/>
        <v>5</v>
      </c>
      <c r="G319" s="1">
        <f t="shared" ca="1" si="42"/>
        <v>1050.25</v>
      </c>
      <c r="H319" s="1">
        <f t="shared" ca="1" si="43"/>
        <v>22055.25</v>
      </c>
      <c r="I319" s="1" t="str">
        <f t="shared" ca="1" si="44"/>
        <v>CC105</v>
      </c>
    </row>
    <row r="320" spans="1:9" hidden="1" x14ac:dyDescent="0.3">
      <c r="A320" s="2">
        <f t="shared" ca="1" si="36"/>
        <v>45208</v>
      </c>
      <c r="B320" s="1" t="str">
        <f t="shared" ca="1" si="37"/>
        <v>IT</v>
      </c>
      <c r="C320" s="1" t="str">
        <f t="shared" ca="1" si="38"/>
        <v>Software</v>
      </c>
      <c r="D320" s="1" t="str">
        <f t="shared" ca="1" si="39"/>
        <v>Urban Office Mart</v>
      </c>
      <c r="E320" s="1">
        <f t="shared" ca="1" si="40"/>
        <v>3908</v>
      </c>
      <c r="F320" s="1">
        <f t="shared" ca="1" si="41"/>
        <v>18</v>
      </c>
      <c r="G320" s="1">
        <f t="shared" ca="1" si="42"/>
        <v>703.44</v>
      </c>
      <c r="H320" s="1">
        <f t="shared" ca="1" si="43"/>
        <v>4611.4400000000005</v>
      </c>
      <c r="I320" s="1" t="str">
        <f t="shared" ca="1" si="44"/>
        <v>CC104</v>
      </c>
    </row>
    <row r="321" spans="1:9" hidden="1" x14ac:dyDescent="0.3">
      <c r="A321" s="2">
        <f t="shared" ca="1" si="36"/>
        <v>45406</v>
      </c>
      <c r="B321" s="1" t="str">
        <f t="shared" ca="1" si="37"/>
        <v>Finance</v>
      </c>
      <c r="C321" s="1" t="str">
        <f t="shared" ca="1" si="38"/>
        <v>Salaries</v>
      </c>
      <c r="D321" s="1" t="str">
        <f t="shared" ca="1" si="39"/>
        <v>Rapid Transport</v>
      </c>
      <c r="E321" s="1">
        <f t="shared" ca="1" si="40"/>
        <v>27872</v>
      </c>
      <c r="F321" s="1">
        <f t="shared" ca="1" si="41"/>
        <v>18</v>
      </c>
      <c r="G321" s="1">
        <f t="shared" ca="1" si="42"/>
        <v>5016.96</v>
      </c>
      <c r="H321" s="1">
        <f t="shared" ca="1" si="43"/>
        <v>32888.959999999999</v>
      </c>
      <c r="I321" s="1" t="str">
        <f t="shared" ca="1" si="44"/>
        <v>CC103</v>
      </c>
    </row>
    <row r="322" spans="1:9" x14ac:dyDescent="0.3">
      <c r="A322" s="2">
        <f t="shared" ca="1" si="36"/>
        <v>44974</v>
      </c>
      <c r="B322" s="1" t="str">
        <f t="shared" ca="1" si="37"/>
        <v>Marketing</v>
      </c>
      <c r="C322" s="1" t="str">
        <f t="shared" ca="1" si="38"/>
        <v>Travel</v>
      </c>
      <c r="D322" s="1" t="str">
        <f t="shared" ca="1" si="39"/>
        <v>QuickFix Services</v>
      </c>
      <c r="E322" s="1">
        <f t="shared" ca="1" si="40"/>
        <v>17083</v>
      </c>
      <c r="F322" s="1">
        <f t="shared" ca="1" si="41"/>
        <v>5</v>
      </c>
      <c r="G322" s="1">
        <f t="shared" ca="1" si="42"/>
        <v>854.15</v>
      </c>
      <c r="H322" s="1">
        <f t="shared" ca="1" si="43"/>
        <v>17937.150000000001</v>
      </c>
      <c r="I322" s="1" t="str">
        <f t="shared" ca="1" si="44"/>
        <v>CC103</v>
      </c>
    </row>
    <row r="323" spans="1:9" x14ac:dyDescent="0.3">
      <c r="A323" s="2">
        <f t="shared" ca="1" si="36"/>
        <v>45399</v>
      </c>
      <c r="B323" s="1" t="str">
        <f t="shared" ca="1" si="37"/>
        <v>Marketing</v>
      </c>
      <c r="C323" s="1" t="str">
        <f t="shared" ca="1" si="38"/>
        <v>Travel</v>
      </c>
      <c r="D323" s="1" t="str">
        <f t="shared" ca="1" si="39"/>
        <v>Star Technologies</v>
      </c>
      <c r="E323" s="1">
        <f t="shared" ca="1" si="40"/>
        <v>8981</v>
      </c>
      <c r="F323" s="1">
        <f t="shared" ca="1" si="41"/>
        <v>5</v>
      </c>
      <c r="G323" s="1">
        <f t="shared" ca="1" si="42"/>
        <v>449.05</v>
      </c>
      <c r="H323" s="1">
        <f t="shared" ca="1" si="43"/>
        <v>9430.0499999999993</v>
      </c>
      <c r="I323" s="1" t="str">
        <f t="shared" ca="1" si="44"/>
        <v>CC105</v>
      </c>
    </row>
    <row r="324" spans="1:9" hidden="1" x14ac:dyDescent="0.3">
      <c r="A324" s="2">
        <f t="shared" ref="A324:A367" ca="1" si="45">RANDBETWEEN(DATE(2023,1,1), DATE(2024,12,31))</f>
        <v>45252</v>
      </c>
      <c r="B324" s="1" t="str">
        <f t="shared" ref="B324:B367" ca="1" si="46">CHOOSE(RANDBETWEEN(1,8),"HR","Finance","Operations","IT","Marketing","Sales","Procurement","Admin")</f>
        <v>Operations</v>
      </c>
      <c r="C324" s="1" t="str">
        <f t="shared" ref="C324:C367" ca="1" si="47">CHOOSE(RANDBETWEEN(1,10),"Travel","Office Supplies","Salaries","Maintenance","Utilities","Software","Training","Marketing Spend","Transportation","Miscellaneous")</f>
        <v>Marketing Spend</v>
      </c>
      <c r="D324" s="1" t="str">
        <f t="shared" ref="D324:D367" ca="1" si="48">CHOOSE(RANDBETWEEN(1,10),
"Infoserve Pvt Ltd",
"Global Traders",
"Alpha Logistics",
"Bright Solutions",
"Star Technologies",
"Urban Office Mart",
"QuickFix Services",
"Skyline Marketing",
"Rapid Transport",
"Universal Systems")</f>
        <v>Infoserve Pvt Ltd</v>
      </c>
      <c r="E324" s="1">
        <f t="shared" ref="E324:E367" ca="1" si="49">RANDBETWEEN(500,50000)</f>
        <v>20207</v>
      </c>
      <c r="F324" s="1">
        <f t="shared" ref="F324:F367" ca="1" si="50">CHOOSE(RANDBETWEEN(1,3),5,12,18)</f>
        <v>5</v>
      </c>
      <c r="G324" s="1">
        <f t="shared" ref="G324:G367" ca="1" si="51">E324*F324/100</f>
        <v>1010.35</v>
      </c>
      <c r="H324" s="1">
        <f t="shared" ref="H324:H367" ca="1" si="52">E324+G324</f>
        <v>21217.35</v>
      </c>
      <c r="I324" s="1" t="str">
        <f t="shared" ref="I324:I367" ca="1" si="53">CHOOSE(RANDBETWEEN(1,6),"CC101","CC102","CC103","CC104","CC105","CC106")</f>
        <v>CC105</v>
      </c>
    </row>
    <row r="325" spans="1:9" x14ac:dyDescent="0.3">
      <c r="A325" s="2">
        <f t="shared" ca="1" si="45"/>
        <v>45319</v>
      </c>
      <c r="B325" s="1" t="str">
        <f t="shared" ca="1" si="46"/>
        <v>Procurement</v>
      </c>
      <c r="C325" s="1" t="str">
        <f t="shared" ca="1" si="47"/>
        <v>Maintenance</v>
      </c>
      <c r="D325" s="1" t="str">
        <f t="shared" ca="1" si="48"/>
        <v>Infoserve Pvt Ltd</v>
      </c>
      <c r="E325" s="1">
        <f t="shared" ca="1" si="49"/>
        <v>46412</v>
      </c>
      <c r="F325" s="1">
        <f t="shared" ca="1" si="50"/>
        <v>12</v>
      </c>
      <c r="G325" s="1">
        <f t="shared" ca="1" si="51"/>
        <v>5569.44</v>
      </c>
      <c r="H325" s="1">
        <f t="shared" ca="1" si="52"/>
        <v>51981.440000000002</v>
      </c>
      <c r="I325" s="1" t="str">
        <f t="shared" ca="1" si="53"/>
        <v>CC101</v>
      </c>
    </row>
    <row r="326" spans="1:9" x14ac:dyDescent="0.3">
      <c r="A326" s="2">
        <f t="shared" ca="1" si="45"/>
        <v>44968</v>
      </c>
      <c r="B326" s="1" t="str">
        <f t="shared" ca="1" si="46"/>
        <v>HR</v>
      </c>
      <c r="C326" s="1" t="str">
        <f t="shared" ca="1" si="47"/>
        <v>Travel</v>
      </c>
      <c r="D326" s="1" t="str">
        <f t="shared" ca="1" si="48"/>
        <v>Universal Systems</v>
      </c>
      <c r="E326" s="1">
        <f t="shared" ca="1" si="49"/>
        <v>17531</v>
      </c>
      <c r="F326" s="1">
        <f t="shared" ca="1" si="50"/>
        <v>12</v>
      </c>
      <c r="G326" s="1">
        <f t="shared" ca="1" si="51"/>
        <v>2103.7199999999998</v>
      </c>
      <c r="H326" s="1">
        <f t="shared" ca="1" si="52"/>
        <v>19634.72</v>
      </c>
      <c r="I326" s="1" t="str">
        <f t="shared" ca="1" si="53"/>
        <v>CC105</v>
      </c>
    </row>
    <row r="327" spans="1:9" hidden="1" x14ac:dyDescent="0.3">
      <c r="A327" s="2">
        <f t="shared" ca="1" si="45"/>
        <v>44951</v>
      </c>
      <c r="B327" s="1" t="str">
        <f t="shared" ca="1" si="46"/>
        <v>IT</v>
      </c>
      <c r="C327" s="1" t="str">
        <f t="shared" ca="1" si="47"/>
        <v>Maintenance</v>
      </c>
      <c r="D327" s="1" t="str">
        <f t="shared" ca="1" si="48"/>
        <v>Global Traders</v>
      </c>
      <c r="E327" s="1">
        <f t="shared" ca="1" si="49"/>
        <v>32220</v>
      </c>
      <c r="F327" s="1">
        <f t="shared" ca="1" si="50"/>
        <v>12</v>
      </c>
      <c r="G327" s="1">
        <f t="shared" ca="1" si="51"/>
        <v>3866.4</v>
      </c>
      <c r="H327" s="1">
        <f t="shared" ca="1" si="52"/>
        <v>36086.400000000001</v>
      </c>
      <c r="I327" s="1" t="str">
        <f t="shared" ca="1" si="53"/>
        <v>CC103</v>
      </c>
    </row>
    <row r="328" spans="1:9" hidden="1" x14ac:dyDescent="0.3">
      <c r="A328" s="2">
        <f t="shared" ca="1" si="45"/>
        <v>45235</v>
      </c>
      <c r="B328" s="1" t="str">
        <f t="shared" ca="1" si="46"/>
        <v>HR</v>
      </c>
      <c r="C328" s="1" t="str">
        <f t="shared" ca="1" si="47"/>
        <v>Software</v>
      </c>
      <c r="D328" s="1" t="str">
        <f t="shared" ca="1" si="48"/>
        <v>Star Technologies</v>
      </c>
      <c r="E328" s="1">
        <f t="shared" ca="1" si="49"/>
        <v>4109</v>
      </c>
      <c r="F328" s="1">
        <f t="shared" ca="1" si="50"/>
        <v>5</v>
      </c>
      <c r="G328" s="1">
        <f t="shared" ca="1" si="51"/>
        <v>205.45</v>
      </c>
      <c r="H328" s="1">
        <f t="shared" ca="1" si="52"/>
        <v>4314.45</v>
      </c>
      <c r="I328" s="1" t="str">
        <f t="shared" ca="1" si="53"/>
        <v>CC102</v>
      </c>
    </row>
    <row r="329" spans="1:9" x14ac:dyDescent="0.3">
      <c r="A329" s="2">
        <f t="shared" ca="1" si="45"/>
        <v>45536</v>
      </c>
      <c r="B329" s="1" t="str">
        <f t="shared" ca="1" si="46"/>
        <v>IT</v>
      </c>
      <c r="C329" s="1" t="str">
        <f t="shared" ca="1" si="47"/>
        <v>Marketing Spend</v>
      </c>
      <c r="D329" s="1" t="str">
        <f t="shared" ca="1" si="48"/>
        <v>Star Technologies</v>
      </c>
      <c r="E329" s="1">
        <f t="shared" ca="1" si="49"/>
        <v>47733</v>
      </c>
      <c r="F329" s="1">
        <f t="shared" ca="1" si="50"/>
        <v>18</v>
      </c>
      <c r="G329" s="1">
        <f t="shared" ca="1" si="51"/>
        <v>8591.94</v>
      </c>
      <c r="H329" s="1">
        <f t="shared" ca="1" si="52"/>
        <v>56324.94</v>
      </c>
      <c r="I329" s="1" t="str">
        <f t="shared" ca="1" si="53"/>
        <v>CC105</v>
      </c>
    </row>
    <row r="330" spans="1:9" hidden="1" x14ac:dyDescent="0.3">
      <c r="A330" s="2">
        <f t="shared" ca="1" si="45"/>
        <v>45352</v>
      </c>
      <c r="B330" s="1" t="str">
        <f t="shared" ca="1" si="46"/>
        <v>Procurement</v>
      </c>
      <c r="C330" s="1" t="str">
        <f t="shared" ca="1" si="47"/>
        <v>Travel</v>
      </c>
      <c r="D330" s="1" t="str">
        <f t="shared" ca="1" si="48"/>
        <v>QuickFix Services</v>
      </c>
      <c r="E330" s="1">
        <f t="shared" ca="1" si="49"/>
        <v>29567</v>
      </c>
      <c r="F330" s="1">
        <f t="shared" ca="1" si="50"/>
        <v>12</v>
      </c>
      <c r="G330" s="1">
        <f t="shared" ca="1" si="51"/>
        <v>3548.04</v>
      </c>
      <c r="H330" s="1">
        <f t="shared" ca="1" si="52"/>
        <v>33115.040000000001</v>
      </c>
      <c r="I330" s="1" t="str">
        <f t="shared" ca="1" si="53"/>
        <v>CC104</v>
      </c>
    </row>
    <row r="331" spans="1:9" x14ac:dyDescent="0.3">
      <c r="A331" s="2">
        <f t="shared" ca="1" si="45"/>
        <v>45488</v>
      </c>
      <c r="B331" s="1" t="str">
        <f t="shared" ca="1" si="46"/>
        <v>HR</v>
      </c>
      <c r="C331" s="1" t="str">
        <f t="shared" ca="1" si="47"/>
        <v>Utilities</v>
      </c>
      <c r="D331" s="1" t="str">
        <f t="shared" ca="1" si="48"/>
        <v>Skyline Marketing</v>
      </c>
      <c r="E331" s="1">
        <f t="shared" ca="1" si="49"/>
        <v>38028</v>
      </c>
      <c r="F331" s="1">
        <f t="shared" ca="1" si="50"/>
        <v>12</v>
      </c>
      <c r="G331" s="1">
        <f t="shared" ca="1" si="51"/>
        <v>4563.3599999999997</v>
      </c>
      <c r="H331" s="1">
        <f t="shared" ca="1" si="52"/>
        <v>42591.360000000001</v>
      </c>
      <c r="I331" s="1" t="str">
        <f t="shared" ca="1" si="53"/>
        <v>CC104</v>
      </c>
    </row>
    <row r="332" spans="1:9" hidden="1" x14ac:dyDescent="0.3">
      <c r="A332" s="2">
        <f t="shared" ca="1" si="45"/>
        <v>45157</v>
      </c>
      <c r="B332" s="1" t="str">
        <f t="shared" ca="1" si="46"/>
        <v>IT</v>
      </c>
      <c r="C332" s="1" t="str">
        <f t="shared" ca="1" si="47"/>
        <v>Travel</v>
      </c>
      <c r="D332" s="1" t="str">
        <f t="shared" ca="1" si="48"/>
        <v>Alpha Logistics</v>
      </c>
      <c r="E332" s="1">
        <f t="shared" ca="1" si="49"/>
        <v>40094</v>
      </c>
      <c r="F332" s="1">
        <f t="shared" ca="1" si="50"/>
        <v>5</v>
      </c>
      <c r="G332" s="1">
        <f t="shared" ca="1" si="51"/>
        <v>2004.7</v>
      </c>
      <c r="H332" s="1">
        <f t="shared" ca="1" si="52"/>
        <v>42098.7</v>
      </c>
      <c r="I332" s="1" t="str">
        <f t="shared" ca="1" si="53"/>
        <v>CC103</v>
      </c>
    </row>
    <row r="333" spans="1:9" hidden="1" x14ac:dyDescent="0.3">
      <c r="A333" s="2">
        <f t="shared" ca="1" si="45"/>
        <v>45209</v>
      </c>
      <c r="B333" s="1" t="str">
        <f t="shared" ca="1" si="46"/>
        <v>Marketing</v>
      </c>
      <c r="C333" s="1" t="str">
        <f t="shared" ca="1" si="47"/>
        <v>Marketing Spend</v>
      </c>
      <c r="D333" s="1" t="str">
        <f t="shared" ca="1" si="48"/>
        <v>QuickFix Services</v>
      </c>
      <c r="E333" s="1">
        <f t="shared" ca="1" si="49"/>
        <v>3621</v>
      </c>
      <c r="F333" s="1">
        <f t="shared" ca="1" si="50"/>
        <v>12</v>
      </c>
      <c r="G333" s="1">
        <f t="shared" ca="1" si="51"/>
        <v>434.52</v>
      </c>
      <c r="H333" s="1">
        <f t="shared" ca="1" si="52"/>
        <v>4055.52</v>
      </c>
      <c r="I333" s="1" t="str">
        <f t="shared" ca="1" si="53"/>
        <v>CC105</v>
      </c>
    </row>
    <row r="334" spans="1:9" x14ac:dyDescent="0.3">
      <c r="A334" s="2">
        <f t="shared" ca="1" si="45"/>
        <v>45146</v>
      </c>
      <c r="B334" s="1" t="str">
        <f t="shared" ca="1" si="46"/>
        <v>IT</v>
      </c>
      <c r="C334" s="1" t="str">
        <f t="shared" ca="1" si="47"/>
        <v>Salaries</v>
      </c>
      <c r="D334" s="1" t="str">
        <f t="shared" ca="1" si="48"/>
        <v>QuickFix Services</v>
      </c>
      <c r="E334" s="1">
        <f t="shared" ca="1" si="49"/>
        <v>30385</v>
      </c>
      <c r="F334" s="1">
        <f t="shared" ca="1" si="50"/>
        <v>5</v>
      </c>
      <c r="G334" s="1">
        <f t="shared" ca="1" si="51"/>
        <v>1519.25</v>
      </c>
      <c r="H334" s="1">
        <f t="shared" ca="1" si="52"/>
        <v>31904.25</v>
      </c>
      <c r="I334" s="1" t="str">
        <f t="shared" ca="1" si="53"/>
        <v>CC101</v>
      </c>
    </row>
    <row r="335" spans="1:9" hidden="1" x14ac:dyDescent="0.3">
      <c r="A335" s="2">
        <f t="shared" ca="1" si="45"/>
        <v>45565</v>
      </c>
      <c r="B335" s="1" t="str">
        <f t="shared" ca="1" si="46"/>
        <v>Marketing</v>
      </c>
      <c r="C335" s="1" t="str">
        <f t="shared" ca="1" si="47"/>
        <v>Office Supplies</v>
      </c>
      <c r="D335" s="1" t="str">
        <f t="shared" ca="1" si="48"/>
        <v>Bright Solutions</v>
      </c>
      <c r="E335" s="1">
        <f t="shared" ca="1" si="49"/>
        <v>18247</v>
      </c>
      <c r="F335" s="1">
        <f t="shared" ca="1" si="50"/>
        <v>12</v>
      </c>
      <c r="G335" s="1">
        <f t="shared" ca="1" si="51"/>
        <v>2189.64</v>
      </c>
      <c r="H335" s="1">
        <f t="shared" ca="1" si="52"/>
        <v>20436.64</v>
      </c>
      <c r="I335" s="1" t="str">
        <f t="shared" ca="1" si="53"/>
        <v>CC105</v>
      </c>
    </row>
    <row r="336" spans="1:9" hidden="1" x14ac:dyDescent="0.3">
      <c r="A336" s="2">
        <f t="shared" ca="1" si="45"/>
        <v>45608</v>
      </c>
      <c r="B336" s="1" t="str">
        <f t="shared" ca="1" si="46"/>
        <v>Finance</v>
      </c>
      <c r="C336" s="1" t="str">
        <f t="shared" ca="1" si="47"/>
        <v>Utilities</v>
      </c>
      <c r="D336" s="1" t="str">
        <f t="shared" ca="1" si="48"/>
        <v>Bright Solutions</v>
      </c>
      <c r="E336" s="1">
        <f t="shared" ca="1" si="49"/>
        <v>36641</v>
      </c>
      <c r="F336" s="1">
        <f t="shared" ca="1" si="50"/>
        <v>18</v>
      </c>
      <c r="G336" s="1">
        <f t="shared" ca="1" si="51"/>
        <v>6595.38</v>
      </c>
      <c r="H336" s="1">
        <f t="shared" ca="1" si="52"/>
        <v>43236.38</v>
      </c>
      <c r="I336" s="1" t="str">
        <f t="shared" ca="1" si="53"/>
        <v>CC102</v>
      </c>
    </row>
    <row r="337" spans="1:9" x14ac:dyDescent="0.3">
      <c r="A337" s="2">
        <f t="shared" ca="1" si="45"/>
        <v>45320</v>
      </c>
      <c r="B337" s="1" t="str">
        <f t="shared" ca="1" si="46"/>
        <v>Operations</v>
      </c>
      <c r="C337" s="1" t="str">
        <f t="shared" ca="1" si="47"/>
        <v>Software</v>
      </c>
      <c r="D337" s="1" t="str">
        <f t="shared" ca="1" si="48"/>
        <v>Skyline Marketing</v>
      </c>
      <c r="E337" s="1">
        <f t="shared" ca="1" si="49"/>
        <v>42682</v>
      </c>
      <c r="F337" s="1">
        <f t="shared" ca="1" si="50"/>
        <v>12</v>
      </c>
      <c r="G337" s="1">
        <f t="shared" ca="1" si="51"/>
        <v>5121.84</v>
      </c>
      <c r="H337" s="1">
        <f t="shared" ca="1" si="52"/>
        <v>47803.839999999997</v>
      </c>
      <c r="I337" s="1" t="str">
        <f t="shared" ca="1" si="53"/>
        <v>CC106</v>
      </c>
    </row>
    <row r="338" spans="1:9" x14ac:dyDescent="0.3">
      <c r="A338" s="2">
        <f t="shared" ca="1" si="45"/>
        <v>44983</v>
      </c>
      <c r="B338" s="1" t="str">
        <f t="shared" ca="1" si="46"/>
        <v>IT</v>
      </c>
      <c r="C338" s="1" t="str">
        <f t="shared" ca="1" si="47"/>
        <v>Training</v>
      </c>
      <c r="D338" s="1" t="str">
        <f t="shared" ca="1" si="48"/>
        <v>Rapid Transport</v>
      </c>
      <c r="E338" s="1">
        <f t="shared" ca="1" si="49"/>
        <v>8512</v>
      </c>
      <c r="F338" s="1">
        <f t="shared" ca="1" si="50"/>
        <v>5</v>
      </c>
      <c r="G338" s="1">
        <f t="shared" ca="1" si="51"/>
        <v>425.6</v>
      </c>
      <c r="H338" s="1">
        <f t="shared" ca="1" si="52"/>
        <v>8937.6</v>
      </c>
      <c r="I338" s="1" t="str">
        <f t="shared" ca="1" si="53"/>
        <v>CC105</v>
      </c>
    </row>
    <row r="339" spans="1:9" hidden="1" x14ac:dyDescent="0.3">
      <c r="A339" s="2">
        <f t="shared" ca="1" si="45"/>
        <v>45654</v>
      </c>
      <c r="B339" s="1" t="str">
        <f t="shared" ca="1" si="46"/>
        <v>Operations</v>
      </c>
      <c r="C339" s="1" t="str">
        <f t="shared" ca="1" si="47"/>
        <v>Office Supplies</v>
      </c>
      <c r="D339" s="1" t="str">
        <f t="shared" ca="1" si="48"/>
        <v>Urban Office Mart</v>
      </c>
      <c r="E339" s="1">
        <f t="shared" ca="1" si="49"/>
        <v>598</v>
      </c>
      <c r="F339" s="1">
        <f t="shared" ca="1" si="50"/>
        <v>5</v>
      </c>
      <c r="G339" s="1">
        <f t="shared" ca="1" si="51"/>
        <v>29.9</v>
      </c>
      <c r="H339" s="1">
        <f t="shared" ca="1" si="52"/>
        <v>627.9</v>
      </c>
      <c r="I339" s="1" t="str">
        <f t="shared" ca="1" si="53"/>
        <v>CC102</v>
      </c>
    </row>
    <row r="340" spans="1:9" hidden="1" x14ac:dyDescent="0.3">
      <c r="A340" s="2">
        <f t="shared" ca="1" si="45"/>
        <v>44985</v>
      </c>
      <c r="B340" s="1" t="str">
        <f t="shared" ca="1" si="46"/>
        <v>Finance</v>
      </c>
      <c r="C340" s="1" t="str">
        <f t="shared" ca="1" si="47"/>
        <v>Training</v>
      </c>
      <c r="D340" s="1" t="str">
        <f t="shared" ca="1" si="48"/>
        <v>Universal Systems</v>
      </c>
      <c r="E340" s="1">
        <f t="shared" ca="1" si="49"/>
        <v>33030</v>
      </c>
      <c r="F340" s="1">
        <f t="shared" ca="1" si="50"/>
        <v>5</v>
      </c>
      <c r="G340" s="1">
        <f t="shared" ca="1" si="51"/>
        <v>1651.5</v>
      </c>
      <c r="H340" s="1">
        <f t="shared" ca="1" si="52"/>
        <v>34681.5</v>
      </c>
      <c r="I340" s="1" t="str">
        <f t="shared" ca="1" si="53"/>
        <v>CC103</v>
      </c>
    </row>
    <row r="341" spans="1:9" x14ac:dyDescent="0.3">
      <c r="A341" s="2">
        <f t="shared" ca="1" si="45"/>
        <v>45086</v>
      </c>
      <c r="B341" s="1" t="str">
        <f t="shared" ca="1" si="46"/>
        <v>IT</v>
      </c>
      <c r="C341" s="1" t="str">
        <f t="shared" ca="1" si="47"/>
        <v>Marketing Spend</v>
      </c>
      <c r="D341" s="1" t="str">
        <f t="shared" ca="1" si="48"/>
        <v>Skyline Marketing</v>
      </c>
      <c r="E341" s="1">
        <f t="shared" ca="1" si="49"/>
        <v>40675</v>
      </c>
      <c r="F341" s="1">
        <f t="shared" ca="1" si="50"/>
        <v>18</v>
      </c>
      <c r="G341" s="1">
        <f t="shared" ca="1" si="51"/>
        <v>7321.5</v>
      </c>
      <c r="H341" s="1">
        <f t="shared" ca="1" si="52"/>
        <v>47996.5</v>
      </c>
      <c r="I341" s="1" t="str">
        <f t="shared" ca="1" si="53"/>
        <v>CC103</v>
      </c>
    </row>
    <row r="342" spans="1:9" x14ac:dyDescent="0.3">
      <c r="A342" s="2">
        <f t="shared" ca="1" si="45"/>
        <v>45379</v>
      </c>
      <c r="B342" s="1" t="str">
        <f t="shared" ca="1" si="46"/>
        <v>Operations</v>
      </c>
      <c r="C342" s="1" t="str">
        <f t="shared" ca="1" si="47"/>
        <v>Miscellaneous</v>
      </c>
      <c r="D342" s="1" t="str">
        <f t="shared" ca="1" si="48"/>
        <v>Bright Solutions</v>
      </c>
      <c r="E342" s="1">
        <f t="shared" ca="1" si="49"/>
        <v>12708</v>
      </c>
      <c r="F342" s="1">
        <f t="shared" ca="1" si="50"/>
        <v>5</v>
      </c>
      <c r="G342" s="1">
        <f t="shared" ca="1" si="51"/>
        <v>635.4</v>
      </c>
      <c r="H342" s="1">
        <f t="shared" ca="1" si="52"/>
        <v>13343.4</v>
      </c>
      <c r="I342" s="1" t="str">
        <f t="shared" ca="1" si="53"/>
        <v>CC106</v>
      </c>
    </row>
    <row r="343" spans="1:9" hidden="1" x14ac:dyDescent="0.3">
      <c r="A343" s="2">
        <f t="shared" ca="1" si="45"/>
        <v>45265</v>
      </c>
      <c r="B343" s="1" t="str">
        <f t="shared" ca="1" si="46"/>
        <v>HR</v>
      </c>
      <c r="C343" s="1" t="str">
        <f t="shared" ca="1" si="47"/>
        <v>Transportation</v>
      </c>
      <c r="D343" s="1" t="str">
        <f t="shared" ca="1" si="48"/>
        <v>Global Traders</v>
      </c>
      <c r="E343" s="1">
        <f t="shared" ca="1" si="49"/>
        <v>24232</v>
      </c>
      <c r="F343" s="1">
        <f t="shared" ca="1" si="50"/>
        <v>5</v>
      </c>
      <c r="G343" s="1">
        <f t="shared" ca="1" si="51"/>
        <v>1211.5999999999999</v>
      </c>
      <c r="H343" s="1">
        <f t="shared" ca="1" si="52"/>
        <v>25443.599999999999</v>
      </c>
      <c r="I343" s="1" t="str">
        <f t="shared" ca="1" si="53"/>
        <v>CC101</v>
      </c>
    </row>
    <row r="344" spans="1:9" x14ac:dyDescent="0.3">
      <c r="A344" s="2">
        <f t="shared" ca="1" si="45"/>
        <v>45424</v>
      </c>
      <c r="B344" s="1" t="str">
        <f t="shared" ca="1" si="46"/>
        <v>Operations</v>
      </c>
      <c r="C344" s="1" t="str">
        <f t="shared" ca="1" si="47"/>
        <v>Miscellaneous</v>
      </c>
      <c r="D344" s="1" t="str">
        <f t="shared" ca="1" si="48"/>
        <v>Urban Office Mart</v>
      </c>
      <c r="E344" s="1">
        <f t="shared" ca="1" si="49"/>
        <v>1145</v>
      </c>
      <c r="F344" s="1">
        <f t="shared" ca="1" si="50"/>
        <v>12</v>
      </c>
      <c r="G344" s="1">
        <f t="shared" ca="1" si="51"/>
        <v>137.4</v>
      </c>
      <c r="H344" s="1">
        <f t="shared" ca="1" si="52"/>
        <v>1282.4000000000001</v>
      </c>
      <c r="I344" s="1" t="str">
        <f t="shared" ca="1" si="53"/>
        <v>CC105</v>
      </c>
    </row>
    <row r="345" spans="1:9" x14ac:dyDescent="0.3">
      <c r="A345" s="2">
        <f t="shared" ca="1" si="45"/>
        <v>45064</v>
      </c>
      <c r="B345" s="1" t="str">
        <f t="shared" ca="1" si="46"/>
        <v>Marketing</v>
      </c>
      <c r="C345" s="1" t="str">
        <f t="shared" ca="1" si="47"/>
        <v>Transportation</v>
      </c>
      <c r="D345" s="1" t="str">
        <f t="shared" ca="1" si="48"/>
        <v>Alpha Logistics</v>
      </c>
      <c r="E345" s="1">
        <f t="shared" ca="1" si="49"/>
        <v>33340</v>
      </c>
      <c r="F345" s="1">
        <f t="shared" ca="1" si="50"/>
        <v>18</v>
      </c>
      <c r="G345" s="1">
        <f t="shared" ca="1" si="51"/>
        <v>6001.2</v>
      </c>
      <c r="H345" s="1">
        <f t="shared" ca="1" si="52"/>
        <v>39341.199999999997</v>
      </c>
      <c r="I345" s="1" t="str">
        <f t="shared" ca="1" si="53"/>
        <v>CC103</v>
      </c>
    </row>
    <row r="346" spans="1:9" hidden="1" x14ac:dyDescent="0.3">
      <c r="A346" s="2">
        <f t="shared" ca="1" si="45"/>
        <v>45155</v>
      </c>
      <c r="B346" s="1" t="str">
        <f t="shared" ca="1" si="46"/>
        <v>Finance</v>
      </c>
      <c r="C346" s="1" t="str">
        <f t="shared" ca="1" si="47"/>
        <v>Salaries</v>
      </c>
      <c r="D346" s="1" t="str">
        <f t="shared" ca="1" si="48"/>
        <v>Skyline Marketing</v>
      </c>
      <c r="E346" s="1">
        <f t="shared" ca="1" si="49"/>
        <v>1744</v>
      </c>
      <c r="F346" s="1">
        <f t="shared" ca="1" si="50"/>
        <v>18</v>
      </c>
      <c r="G346" s="1">
        <f t="shared" ca="1" si="51"/>
        <v>313.92</v>
      </c>
      <c r="H346" s="1">
        <f t="shared" ca="1" si="52"/>
        <v>2057.92</v>
      </c>
      <c r="I346" s="1" t="str">
        <f t="shared" ca="1" si="53"/>
        <v>CC101</v>
      </c>
    </row>
    <row r="347" spans="1:9" x14ac:dyDescent="0.3">
      <c r="A347" s="2">
        <f t="shared" ca="1" si="45"/>
        <v>45602</v>
      </c>
      <c r="B347" s="1" t="str">
        <f t="shared" ca="1" si="46"/>
        <v>Procurement</v>
      </c>
      <c r="C347" s="1" t="str">
        <f t="shared" ca="1" si="47"/>
        <v>Training</v>
      </c>
      <c r="D347" s="1" t="str">
        <f t="shared" ca="1" si="48"/>
        <v>Global Traders</v>
      </c>
      <c r="E347" s="1">
        <f t="shared" ca="1" si="49"/>
        <v>43385</v>
      </c>
      <c r="F347" s="1">
        <f t="shared" ca="1" si="50"/>
        <v>5</v>
      </c>
      <c r="G347" s="1">
        <f t="shared" ca="1" si="51"/>
        <v>2169.25</v>
      </c>
      <c r="H347" s="1">
        <f t="shared" ca="1" si="52"/>
        <v>45554.25</v>
      </c>
      <c r="I347" s="1" t="str">
        <f t="shared" ca="1" si="53"/>
        <v>CC103</v>
      </c>
    </row>
    <row r="348" spans="1:9" hidden="1" x14ac:dyDescent="0.3">
      <c r="A348" s="2">
        <f t="shared" ca="1" si="45"/>
        <v>44966</v>
      </c>
      <c r="B348" s="1" t="str">
        <f t="shared" ca="1" si="46"/>
        <v>HR</v>
      </c>
      <c r="C348" s="1" t="str">
        <f t="shared" ca="1" si="47"/>
        <v>Training</v>
      </c>
      <c r="D348" s="1" t="str">
        <f t="shared" ca="1" si="48"/>
        <v>QuickFix Services</v>
      </c>
      <c r="E348" s="1">
        <f t="shared" ca="1" si="49"/>
        <v>18268</v>
      </c>
      <c r="F348" s="1">
        <f t="shared" ca="1" si="50"/>
        <v>5</v>
      </c>
      <c r="G348" s="1">
        <f t="shared" ca="1" si="51"/>
        <v>913.4</v>
      </c>
      <c r="H348" s="1">
        <f t="shared" ca="1" si="52"/>
        <v>19181.400000000001</v>
      </c>
      <c r="I348" s="1" t="str">
        <f t="shared" ca="1" si="53"/>
        <v>CC102</v>
      </c>
    </row>
    <row r="349" spans="1:9" hidden="1" x14ac:dyDescent="0.3">
      <c r="A349" s="2">
        <f t="shared" ca="1" si="45"/>
        <v>45137</v>
      </c>
      <c r="B349" s="1" t="str">
        <f t="shared" ca="1" si="46"/>
        <v>HR</v>
      </c>
      <c r="C349" s="1" t="str">
        <f t="shared" ca="1" si="47"/>
        <v>Training</v>
      </c>
      <c r="D349" s="1" t="str">
        <f t="shared" ca="1" si="48"/>
        <v>Infoserve Pvt Ltd</v>
      </c>
      <c r="E349" s="1">
        <f t="shared" ca="1" si="49"/>
        <v>28110</v>
      </c>
      <c r="F349" s="1">
        <f t="shared" ca="1" si="50"/>
        <v>12</v>
      </c>
      <c r="G349" s="1">
        <f t="shared" ca="1" si="51"/>
        <v>3373.2</v>
      </c>
      <c r="H349" s="1">
        <f t="shared" ca="1" si="52"/>
        <v>31483.200000000001</v>
      </c>
      <c r="I349" s="1" t="str">
        <f t="shared" ca="1" si="53"/>
        <v>CC101</v>
      </c>
    </row>
    <row r="350" spans="1:9" x14ac:dyDescent="0.3">
      <c r="A350" s="2">
        <f t="shared" ca="1" si="45"/>
        <v>45452</v>
      </c>
      <c r="B350" s="1" t="str">
        <f t="shared" ca="1" si="46"/>
        <v>HR</v>
      </c>
      <c r="C350" s="1" t="str">
        <f t="shared" ca="1" si="47"/>
        <v>Training</v>
      </c>
      <c r="D350" s="1" t="str">
        <f t="shared" ca="1" si="48"/>
        <v>Bright Solutions</v>
      </c>
      <c r="E350" s="1">
        <f t="shared" ca="1" si="49"/>
        <v>21892</v>
      </c>
      <c r="F350" s="1">
        <f t="shared" ca="1" si="50"/>
        <v>12</v>
      </c>
      <c r="G350" s="1">
        <f t="shared" ca="1" si="51"/>
        <v>2627.04</v>
      </c>
      <c r="H350" s="1">
        <f t="shared" ca="1" si="52"/>
        <v>24519.040000000001</v>
      </c>
      <c r="I350" s="1" t="str">
        <f t="shared" ca="1" si="53"/>
        <v>CC104</v>
      </c>
    </row>
    <row r="351" spans="1:9" hidden="1" x14ac:dyDescent="0.3">
      <c r="A351" s="2">
        <f t="shared" ca="1" si="45"/>
        <v>45244</v>
      </c>
      <c r="B351" s="1" t="str">
        <f t="shared" ca="1" si="46"/>
        <v>Sales</v>
      </c>
      <c r="C351" s="1" t="str">
        <f t="shared" ca="1" si="47"/>
        <v>Travel</v>
      </c>
      <c r="D351" s="1" t="str">
        <f t="shared" ca="1" si="48"/>
        <v>Infoserve Pvt Ltd</v>
      </c>
      <c r="E351" s="1">
        <f t="shared" ca="1" si="49"/>
        <v>22346</v>
      </c>
      <c r="F351" s="1">
        <f t="shared" ca="1" si="50"/>
        <v>5</v>
      </c>
      <c r="G351" s="1">
        <f t="shared" ca="1" si="51"/>
        <v>1117.3</v>
      </c>
      <c r="H351" s="1">
        <f t="shared" ca="1" si="52"/>
        <v>23463.3</v>
      </c>
      <c r="I351" s="1" t="str">
        <f t="shared" ca="1" si="53"/>
        <v>CC104</v>
      </c>
    </row>
    <row r="352" spans="1:9" hidden="1" x14ac:dyDescent="0.3">
      <c r="A352" s="2">
        <f t="shared" ca="1" si="45"/>
        <v>45270</v>
      </c>
      <c r="B352" s="1" t="str">
        <f t="shared" ca="1" si="46"/>
        <v>Procurement</v>
      </c>
      <c r="C352" s="1" t="str">
        <f t="shared" ca="1" si="47"/>
        <v>Travel</v>
      </c>
      <c r="D352" s="1" t="str">
        <f t="shared" ca="1" si="48"/>
        <v>Rapid Transport</v>
      </c>
      <c r="E352" s="1">
        <f t="shared" ca="1" si="49"/>
        <v>47796</v>
      </c>
      <c r="F352" s="1">
        <f t="shared" ca="1" si="50"/>
        <v>5</v>
      </c>
      <c r="G352" s="1">
        <f t="shared" ca="1" si="51"/>
        <v>2389.8000000000002</v>
      </c>
      <c r="H352" s="1">
        <f t="shared" ca="1" si="52"/>
        <v>50185.8</v>
      </c>
      <c r="I352" s="1" t="str">
        <f t="shared" ca="1" si="53"/>
        <v>CC102</v>
      </c>
    </row>
    <row r="353" spans="1:9" x14ac:dyDescent="0.3">
      <c r="A353" s="2">
        <f t="shared" ca="1" si="45"/>
        <v>44929</v>
      </c>
      <c r="B353" s="1" t="str">
        <f t="shared" ca="1" si="46"/>
        <v>HR</v>
      </c>
      <c r="C353" s="1" t="str">
        <f t="shared" ca="1" si="47"/>
        <v>Maintenance</v>
      </c>
      <c r="D353" s="1" t="str">
        <f t="shared" ca="1" si="48"/>
        <v>Infoserve Pvt Ltd</v>
      </c>
      <c r="E353" s="1">
        <f t="shared" ca="1" si="49"/>
        <v>47184</v>
      </c>
      <c r="F353" s="1">
        <f t="shared" ca="1" si="50"/>
        <v>12</v>
      </c>
      <c r="G353" s="1">
        <f t="shared" ca="1" si="51"/>
        <v>5662.08</v>
      </c>
      <c r="H353" s="1">
        <f t="shared" ca="1" si="52"/>
        <v>52846.080000000002</v>
      </c>
      <c r="I353" s="1" t="str">
        <f t="shared" ca="1" si="53"/>
        <v>CC106</v>
      </c>
    </row>
    <row r="354" spans="1:9" x14ac:dyDescent="0.3">
      <c r="A354" s="2">
        <f t="shared" ca="1" si="45"/>
        <v>45282</v>
      </c>
      <c r="B354" s="1" t="str">
        <f t="shared" ca="1" si="46"/>
        <v>Operations</v>
      </c>
      <c r="C354" s="1" t="str">
        <f t="shared" ca="1" si="47"/>
        <v>Marketing Spend</v>
      </c>
      <c r="D354" s="1" t="str">
        <f t="shared" ca="1" si="48"/>
        <v>Star Technologies</v>
      </c>
      <c r="E354" s="1">
        <f t="shared" ca="1" si="49"/>
        <v>44953</v>
      </c>
      <c r="F354" s="1">
        <f t="shared" ca="1" si="50"/>
        <v>5</v>
      </c>
      <c r="G354" s="1">
        <f t="shared" ca="1" si="51"/>
        <v>2247.65</v>
      </c>
      <c r="H354" s="1">
        <f t="shared" ca="1" si="52"/>
        <v>47200.65</v>
      </c>
      <c r="I354" s="1" t="str">
        <f t="shared" ca="1" si="53"/>
        <v>CC104</v>
      </c>
    </row>
    <row r="355" spans="1:9" x14ac:dyDescent="0.3">
      <c r="A355" s="2">
        <f t="shared" ca="1" si="45"/>
        <v>45252</v>
      </c>
      <c r="B355" s="1" t="str">
        <f t="shared" ca="1" si="46"/>
        <v>HR</v>
      </c>
      <c r="C355" s="1" t="str">
        <f t="shared" ca="1" si="47"/>
        <v>Miscellaneous</v>
      </c>
      <c r="D355" s="1" t="str">
        <f t="shared" ca="1" si="48"/>
        <v>Universal Systems</v>
      </c>
      <c r="E355" s="1">
        <f t="shared" ca="1" si="49"/>
        <v>32566</v>
      </c>
      <c r="F355" s="1">
        <f t="shared" ca="1" si="50"/>
        <v>12</v>
      </c>
      <c r="G355" s="1">
        <f t="shared" ca="1" si="51"/>
        <v>3907.92</v>
      </c>
      <c r="H355" s="1">
        <f t="shared" ca="1" si="52"/>
        <v>36473.919999999998</v>
      </c>
      <c r="I355" s="1" t="str">
        <f t="shared" ca="1" si="53"/>
        <v>CC105</v>
      </c>
    </row>
    <row r="356" spans="1:9" x14ac:dyDescent="0.3">
      <c r="A356" s="2">
        <f t="shared" ca="1" si="45"/>
        <v>45328</v>
      </c>
      <c r="B356" s="1" t="str">
        <f t="shared" ca="1" si="46"/>
        <v>Procurement</v>
      </c>
      <c r="C356" s="1" t="str">
        <f t="shared" ca="1" si="47"/>
        <v>Miscellaneous</v>
      </c>
      <c r="D356" s="1" t="str">
        <f t="shared" ca="1" si="48"/>
        <v>Global Traders</v>
      </c>
      <c r="E356" s="1">
        <f t="shared" ca="1" si="49"/>
        <v>48198</v>
      </c>
      <c r="F356" s="1">
        <f t="shared" ca="1" si="50"/>
        <v>5</v>
      </c>
      <c r="G356" s="1">
        <f t="shared" ca="1" si="51"/>
        <v>2409.9</v>
      </c>
      <c r="H356" s="1">
        <f t="shared" ca="1" si="52"/>
        <v>50607.9</v>
      </c>
      <c r="I356" s="1" t="str">
        <f t="shared" ca="1" si="53"/>
        <v>CC105</v>
      </c>
    </row>
    <row r="357" spans="1:9" x14ac:dyDescent="0.3">
      <c r="A357" s="2">
        <f t="shared" ca="1" si="45"/>
        <v>45040</v>
      </c>
      <c r="B357" s="1" t="str">
        <f t="shared" ca="1" si="46"/>
        <v>Operations</v>
      </c>
      <c r="C357" s="1" t="str">
        <f t="shared" ca="1" si="47"/>
        <v>Transportation</v>
      </c>
      <c r="D357" s="1" t="str">
        <f t="shared" ca="1" si="48"/>
        <v>Universal Systems</v>
      </c>
      <c r="E357" s="1">
        <f t="shared" ca="1" si="49"/>
        <v>16903</v>
      </c>
      <c r="F357" s="1">
        <f t="shared" ca="1" si="50"/>
        <v>12</v>
      </c>
      <c r="G357" s="1">
        <f t="shared" ca="1" si="51"/>
        <v>2028.36</v>
      </c>
      <c r="H357" s="1">
        <f t="shared" ca="1" si="52"/>
        <v>18931.36</v>
      </c>
      <c r="I357" s="1" t="str">
        <f t="shared" ca="1" si="53"/>
        <v>CC106</v>
      </c>
    </row>
    <row r="358" spans="1:9" x14ac:dyDescent="0.3">
      <c r="A358" s="2">
        <f t="shared" ca="1" si="45"/>
        <v>45060</v>
      </c>
      <c r="B358" s="1" t="str">
        <f t="shared" ca="1" si="46"/>
        <v>Operations</v>
      </c>
      <c r="C358" s="1" t="str">
        <f t="shared" ca="1" si="47"/>
        <v>Travel</v>
      </c>
      <c r="D358" s="1" t="str">
        <f t="shared" ca="1" si="48"/>
        <v>Bright Solutions</v>
      </c>
      <c r="E358" s="1">
        <f t="shared" ca="1" si="49"/>
        <v>8500</v>
      </c>
      <c r="F358" s="1">
        <f t="shared" ca="1" si="50"/>
        <v>18</v>
      </c>
      <c r="G358" s="1">
        <f t="shared" ca="1" si="51"/>
        <v>1530</v>
      </c>
      <c r="H358" s="1">
        <f t="shared" ca="1" si="52"/>
        <v>10030</v>
      </c>
      <c r="I358" s="1" t="str">
        <f t="shared" ca="1" si="53"/>
        <v>CC104</v>
      </c>
    </row>
    <row r="359" spans="1:9" x14ac:dyDescent="0.3">
      <c r="A359" s="2">
        <f t="shared" ca="1" si="45"/>
        <v>45087</v>
      </c>
      <c r="B359" s="1" t="str">
        <f t="shared" ca="1" si="46"/>
        <v>Marketing</v>
      </c>
      <c r="C359" s="1" t="str">
        <f t="shared" ca="1" si="47"/>
        <v>Miscellaneous</v>
      </c>
      <c r="D359" s="1" t="str">
        <f t="shared" ca="1" si="48"/>
        <v>Alpha Logistics</v>
      </c>
      <c r="E359" s="1">
        <f t="shared" ca="1" si="49"/>
        <v>27884</v>
      </c>
      <c r="F359" s="1">
        <f t="shared" ca="1" si="50"/>
        <v>5</v>
      </c>
      <c r="G359" s="1">
        <f t="shared" ca="1" si="51"/>
        <v>1394.2</v>
      </c>
      <c r="H359" s="1">
        <f t="shared" ca="1" si="52"/>
        <v>29278.2</v>
      </c>
      <c r="I359" s="1" t="str">
        <f t="shared" ca="1" si="53"/>
        <v>CC101</v>
      </c>
    </row>
    <row r="360" spans="1:9" x14ac:dyDescent="0.3">
      <c r="A360" s="2">
        <f t="shared" ca="1" si="45"/>
        <v>45420</v>
      </c>
      <c r="B360" s="1" t="str">
        <f t="shared" ca="1" si="46"/>
        <v>Marketing</v>
      </c>
      <c r="C360" s="1" t="str">
        <f t="shared" ca="1" si="47"/>
        <v>Utilities</v>
      </c>
      <c r="D360" s="1" t="str">
        <f t="shared" ca="1" si="48"/>
        <v>Urban Office Mart</v>
      </c>
      <c r="E360" s="1">
        <f t="shared" ca="1" si="49"/>
        <v>23821</v>
      </c>
      <c r="F360" s="1">
        <f t="shared" ca="1" si="50"/>
        <v>18</v>
      </c>
      <c r="G360" s="1">
        <f t="shared" ca="1" si="51"/>
        <v>4287.78</v>
      </c>
      <c r="H360" s="1">
        <f t="shared" ca="1" si="52"/>
        <v>28108.78</v>
      </c>
      <c r="I360" s="1" t="str">
        <f t="shared" ca="1" si="53"/>
        <v>CC101</v>
      </c>
    </row>
    <row r="361" spans="1:9" hidden="1" x14ac:dyDescent="0.3">
      <c r="A361" s="2">
        <f t="shared" ca="1" si="45"/>
        <v>45593</v>
      </c>
      <c r="B361" s="1" t="str">
        <f t="shared" ca="1" si="46"/>
        <v>Marketing</v>
      </c>
      <c r="C361" s="1" t="str">
        <f t="shared" ca="1" si="47"/>
        <v>Transportation</v>
      </c>
      <c r="D361" s="1" t="str">
        <f t="shared" ca="1" si="48"/>
        <v>QuickFix Services</v>
      </c>
      <c r="E361" s="1">
        <f t="shared" ca="1" si="49"/>
        <v>1823</v>
      </c>
      <c r="F361" s="1">
        <f t="shared" ca="1" si="50"/>
        <v>12</v>
      </c>
      <c r="G361" s="1">
        <f t="shared" ca="1" si="51"/>
        <v>218.76</v>
      </c>
      <c r="H361" s="1">
        <f t="shared" ca="1" si="52"/>
        <v>2041.76</v>
      </c>
      <c r="I361" s="1" t="str">
        <f t="shared" ca="1" si="53"/>
        <v>CC103</v>
      </c>
    </row>
    <row r="362" spans="1:9" hidden="1" x14ac:dyDescent="0.3">
      <c r="A362" s="2">
        <f t="shared" ca="1" si="45"/>
        <v>45424</v>
      </c>
      <c r="B362" s="1" t="str">
        <f t="shared" ca="1" si="46"/>
        <v>HR</v>
      </c>
      <c r="C362" s="1" t="str">
        <f t="shared" ca="1" si="47"/>
        <v>Travel</v>
      </c>
      <c r="D362" s="1" t="str">
        <f t="shared" ca="1" si="48"/>
        <v>Star Technologies</v>
      </c>
      <c r="E362" s="1">
        <f t="shared" ca="1" si="49"/>
        <v>1723</v>
      </c>
      <c r="F362" s="1">
        <f t="shared" ca="1" si="50"/>
        <v>5</v>
      </c>
      <c r="G362" s="1">
        <f t="shared" ca="1" si="51"/>
        <v>86.15</v>
      </c>
      <c r="H362" s="1">
        <f t="shared" ca="1" si="52"/>
        <v>1809.15</v>
      </c>
      <c r="I362" s="1" t="str">
        <f t="shared" ca="1" si="53"/>
        <v>CC103</v>
      </c>
    </row>
    <row r="363" spans="1:9" x14ac:dyDescent="0.3">
      <c r="A363" s="2">
        <f t="shared" ca="1" si="45"/>
        <v>45508</v>
      </c>
      <c r="B363" s="1" t="str">
        <f t="shared" ca="1" si="46"/>
        <v>Finance</v>
      </c>
      <c r="C363" s="1" t="str">
        <f t="shared" ca="1" si="47"/>
        <v>Marketing Spend</v>
      </c>
      <c r="D363" s="1" t="str">
        <f t="shared" ca="1" si="48"/>
        <v>Skyline Marketing</v>
      </c>
      <c r="E363" s="1">
        <f t="shared" ca="1" si="49"/>
        <v>48507</v>
      </c>
      <c r="F363" s="1">
        <f t="shared" ca="1" si="50"/>
        <v>12</v>
      </c>
      <c r="G363" s="1">
        <f t="shared" ca="1" si="51"/>
        <v>5820.84</v>
      </c>
      <c r="H363" s="1">
        <f t="shared" ca="1" si="52"/>
        <v>54327.839999999997</v>
      </c>
      <c r="I363" s="1" t="str">
        <f t="shared" ca="1" si="53"/>
        <v>CC102</v>
      </c>
    </row>
    <row r="364" spans="1:9" x14ac:dyDescent="0.3">
      <c r="A364" s="2">
        <f t="shared" ca="1" si="45"/>
        <v>45079</v>
      </c>
      <c r="B364" s="1" t="str">
        <f t="shared" ca="1" si="46"/>
        <v>Procurement</v>
      </c>
      <c r="C364" s="1" t="str">
        <f t="shared" ca="1" si="47"/>
        <v>Utilities</v>
      </c>
      <c r="D364" s="1" t="str">
        <f t="shared" ca="1" si="48"/>
        <v>QuickFix Services</v>
      </c>
      <c r="E364" s="1">
        <f t="shared" ca="1" si="49"/>
        <v>13321</v>
      </c>
      <c r="F364" s="1">
        <f t="shared" ca="1" si="50"/>
        <v>12</v>
      </c>
      <c r="G364" s="1">
        <f t="shared" ca="1" si="51"/>
        <v>1598.52</v>
      </c>
      <c r="H364" s="1">
        <f t="shared" ca="1" si="52"/>
        <v>14919.52</v>
      </c>
      <c r="I364" s="1" t="str">
        <f t="shared" ca="1" si="53"/>
        <v>CC103</v>
      </c>
    </row>
    <row r="365" spans="1:9" hidden="1" x14ac:dyDescent="0.3">
      <c r="A365" s="2">
        <f t="shared" ca="1" si="45"/>
        <v>45523</v>
      </c>
      <c r="B365" s="1" t="str">
        <f t="shared" ca="1" si="46"/>
        <v>Procurement</v>
      </c>
      <c r="C365" s="1" t="str">
        <f t="shared" ca="1" si="47"/>
        <v>Software</v>
      </c>
      <c r="D365" s="1" t="str">
        <f t="shared" ca="1" si="48"/>
        <v>QuickFix Services</v>
      </c>
      <c r="E365" s="1">
        <f t="shared" ca="1" si="49"/>
        <v>9247</v>
      </c>
      <c r="F365" s="1">
        <f t="shared" ca="1" si="50"/>
        <v>12</v>
      </c>
      <c r="G365" s="1">
        <f t="shared" ca="1" si="51"/>
        <v>1109.6400000000001</v>
      </c>
      <c r="H365" s="1">
        <f t="shared" ca="1" si="52"/>
        <v>10356.64</v>
      </c>
      <c r="I365" s="1" t="str">
        <f t="shared" ca="1" si="53"/>
        <v>CC101</v>
      </c>
    </row>
    <row r="366" spans="1:9" hidden="1" x14ac:dyDescent="0.3">
      <c r="A366" s="2">
        <f t="shared" ca="1" si="45"/>
        <v>45464</v>
      </c>
      <c r="B366" s="1" t="str">
        <f t="shared" ca="1" si="46"/>
        <v>Admin</v>
      </c>
      <c r="C366" s="1" t="str">
        <f t="shared" ca="1" si="47"/>
        <v>Transportation</v>
      </c>
      <c r="D366" s="1" t="str">
        <f t="shared" ca="1" si="48"/>
        <v>Star Technologies</v>
      </c>
      <c r="E366" s="1">
        <f t="shared" ca="1" si="49"/>
        <v>37045</v>
      </c>
      <c r="F366" s="1">
        <f t="shared" ca="1" si="50"/>
        <v>18</v>
      </c>
      <c r="G366" s="1">
        <f t="shared" ca="1" si="51"/>
        <v>6668.1</v>
      </c>
      <c r="H366" s="1">
        <f t="shared" ca="1" si="52"/>
        <v>43713.1</v>
      </c>
      <c r="I366" s="1" t="str">
        <f t="shared" ca="1" si="53"/>
        <v>CC105</v>
      </c>
    </row>
    <row r="367" spans="1:9" hidden="1" x14ac:dyDescent="0.3">
      <c r="A367" s="2">
        <f t="shared" ca="1" si="45"/>
        <v>45247</v>
      </c>
      <c r="B367" s="1" t="str">
        <f t="shared" ca="1" si="46"/>
        <v>Admin</v>
      </c>
      <c r="C367" s="1" t="str">
        <f t="shared" ca="1" si="47"/>
        <v>Office Supplies</v>
      </c>
      <c r="D367" s="1" t="str">
        <f t="shared" ca="1" si="48"/>
        <v>Urban Office Mart</v>
      </c>
      <c r="E367" s="1">
        <f t="shared" ca="1" si="49"/>
        <v>15936</v>
      </c>
      <c r="F367" s="1">
        <f t="shared" ca="1" si="50"/>
        <v>12</v>
      </c>
      <c r="G367" s="1">
        <f t="shared" ca="1" si="51"/>
        <v>1912.32</v>
      </c>
      <c r="H367" s="1">
        <f t="shared" ca="1" si="52"/>
        <v>17848.32</v>
      </c>
      <c r="I367" s="1" t="str">
        <f t="shared" ca="1" si="53"/>
        <v>CC102</v>
      </c>
    </row>
    <row r="368" spans="1:9" hidden="1" x14ac:dyDescent="0.3"/>
  </sheetData>
  <mergeCells count="1">
    <mergeCell ref="A1:I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E63E-3C9F-4DFA-80FF-B8EAAE160AA5}">
  <dimension ref="A1:V34"/>
  <sheetViews>
    <sheetView showGridLines="0" workbookViewId="0">
      <selection activeCell="H21" sqref="H21"/>
    </sheetView>
  </sheetViews>
  <sheetFormatPr defaultRowHeight="14.4" x14ac:dyDescent="0.3"/>
  <cols>
    <col min="1" max="1" width="12.5546875" bestFit="1" customWidth="1"/>
    <col min="2" max="2" width="24" bestFit="1" customWidth="1"/>
    <col min="3" max="4" width="10.33203125" bestFit="1" customWidth="1"/>
    <col min="5" max="5" width="12.5546875" bestFit="1" customWidth="1"/>
    <col min="6" max="6" width="23.44140625" bestFit="1" customWidth="1"/>
    <col min="7" max="7" width="11" bestFit="1" customWidth="1"/>
    <col min="8" max="8" width="10" bestFit="1" customWidth="1"/>
    <col min="9" max="9" width="16" bestFit="1" customWidth="1"/>
    <col min="10" max="10" width="20" bestFit="1" customWidth="1"/>
    <col min="11" max="11" width="11" bestFit="1" customWidth="1"/>
    <col min="12" max="12" width="12" bestFit="1" customWidth="1"/>
    <col min="13" max="13" width="10" bestFit="1" customWidth="1"/>
    <col min="14" max="14" width="7" bestFit="1" customWidth="1"/>
    <col min="15" max="15" width="12" bestFit="1" customWidth="1"/>
    <col min="16" max="292" width="10.33203125" bestFit="1" customWidth="1"/>
    <col min="293" max="293" width="10.77734375" bestFit="1" customWidth="1"/>
  </cols>
  <sheetData>
    <row r="1" spans="1:22" x14ac:dyDescent="0.3">
      <c r="A1" s="21" t="s">
        <v>18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1" t="s">
        <v>18</v>
      </c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8" customFormat="1" ht="18" x14ac:dyDescent="0.35">
      <c r="A3" s="10" t="s">
        <v>42</v>
      </c>
      <c r="B3" s="10" t="s">
        <v>45</v>
      </c>
      <c r="C3" s="7"/>
      <c r="D3" s="7"/>
      <c r="E3" s="10" t="s">
        <v>44</v>
      </c>
      <c r="F3" s="10" t="s">
        <v>47</v>
      </c>
      <c r="G3" s="7"/>
      <c r="H3" s="7"/>
      <c r="I3" s="7"/>
      <c r="J3" s="7"/>
      <c r="K3" s="7"/>
    </row>
    <row r="4" spans="1:22" s="8" customFormat="1" ht="18" x14ac:dyDescent="0.35">
      <c r="A4" s="10"/>
      <c r="B4" s="10"/>
      <c r="C4" s="7"/>
      <c r="D4" s="7"/>
      <c r="E4" s="10"/>
      <c r="F4" s="10"/>
      <c r="G4" s="7"/>
      <c r="H4" s="7"/>
      <c r="I4" s="7"/>
      <c r="J4" s="7"/>
      <c r="K4" s="7"/>
      <c r="L4" s="12"/>
    </row>
    <row r="5" spans="1:22" x14ac:dyDescent="0.3">
      <c r="A5" s="3" t="s">
        <v>19</v>
      </c>
      <c r="B5" t="s">
        <v>23</v>
      </c>
      <c r="E5" s="3" t="s">
        <v>23</v>
      </c>
      <c r="F5" s="3" t="s">
        <v>22</v>
      </c>
    </row>
    <row r="6" spans="1:22" x14ac:dyDescent="0.3">
      <c r="A6" s="4" t="s">
        <v>24</v>
      </c>
      <c r="E6" s="3" t="s">
        <v>19</v>
      </c>
      <c r="F6" t="s">
        <v>37</v>
      </c>
      <c r="G6" t="s">
        <v>5</v>
      </c>
      <c r="H6" t="s">
        <v>3</v>
      </c>
      <c r="I6" t="s">
        <v>38</v>
      </c>
      <c r="J6" t="s">
        <v>39</v>
      </c>
      <c r="K6" t="s">
        <v>40</v>
      </c>
      <c r="L6" t="s">
        <v>41</v>
      </c>
      <c r="M6" t="s">
        <v>1</v>
      </c>
      <c r="N6" t="s">
        <v>20</v>
      </c>
      <c r="O6" t="s">
        <v>21</v>
      </c>
    </row>
    <row r="7" spans="1:22" x14ac:dyDescent="0.3">
      <c r="A7" s="5" t="s">
        <v>26</v>
      </c>
      <c r="B7">
        <v>1215566.22</v>
      </c>
      <c r="E7" s="4" t="s">
        <v>48</v>
      </c>
      <c r="F7">
        <v>168933.05</v>
      </c>
      <c r="G7">
        <v>166134.85</v>
      </c>
      <c r="H7">
        <v>109218.52</v>
      </c>
      <c r="I7">
        <v>26906.880000000001</v>
      </c>
      <c r="J7">
        <v>83041.01999999999</v>
      </c>
      <c r="K7">
        <v>204177.88000000003</v>
      </c>
      <c r="L7">
        <v>68054.06</v>
      </c>
      <c r="M7">
        <v>78646.739999999991</v>
      </c>
      <c r="O7">
        <v>905113</v>
      </c>
    </row>
    <row r="8" spans="1:22" x14ac:dyDescent="0.3">
      <c r="A8" s="5" t="s">
        <v>27</v>
      </c>
      <c r="B8">
        <v>1209246.8399999999</v>
      </c>
      <c r="E8" s="4" t="s">
        <v>49</v>
      </c>
      <c r="F8">
        <v>70008.13</v>
      </c>
      <c r="G8">
        <v>127876.35</v>
      </c>
      <c r="H8">
        <v>72867.360000000001</v>
      </c>
      <c r="I8">
        <v>85044.68</v>
      </c>
      <c r="J8">
        <v>228784.76000000004</v>
      </c>
      <c r="K8">
        <v>104653.21999999999</v>
      </c>
      <c r="L8">
        <v>112866.67000000001</v>
      </c>
      <c r="M8">
        <v>21370.720000000001</v>
      </c>
      <c r="O8">
        <v>823471.89</v>
      </c>
    </row>
    <row r="9" spans="1:22" x14ac:dyDescent="0.3">
      <c r="A9" s="5" t="s">
        <v>28</v>
      </c>
      <c r="B9">
        <v>1210212.05</v>
      </c>
      <c r="E9" s="4" t="s">
        <v>50</v>
      </c>
      <c r="F9">
        <v>205497.02000000002</v>
      </c>
      <c r="G9">
        <v>98222.340000000011</v>
      </c>
      <c r="H9">
        <v>118664.72999999998</v>
      </c>
      <c r="I9">
        <v>199711.04</v>
      </c>
      <c r="J9">
        <v>371198.62</v>
      </c>
      <c r="K9">
        <v>94040.29</v>
      </c>
      <c r="L9">
        <v>59178.77</v>
      </c>
      <c r="M9">
        <v>125302.59</v>
      </c>
      <c r="O9">
        <v>1271815.4000000001</v>
      </c>
    </row>
    <row r="10" spans="1:22" x14ac:dyDescent="0.3">
      <c r="A10" s="5" t="s">
        <v>29</v>
      </c>
      <c r="B10">
        <v>1009078.89</v>
      </c>
      <c r="E10" s="4" t="s">
        <v>51</v>
      </c>
      <c r="F10">
        <v>270605.08999999997</v>
      </c>
      <c r="G10">
        <v>264538.26</v>
      </c>
      <c r="H10">
        <v>128052</v>
      </c>
      <c r="I10">
        <v>228526.91999999998</v>
      </c>
      <c r="J10">
        <v>118477.73000000001</v>
      </c>
      <c r="K10">
        <v>63312.579999999994</v>
      </c>
      <c r="L10">
        <v>132851.88</v>
      </c>
      <c r="M10">
        <v>69831.86</v>
      </c>
      <c r="O10">
        <v>1276196.32</v>
      </c>
    </row>
    <row r="11" spans="1:22" x14ac:dyDescent="0.3">
      <c r="A11" s="4" t="s">
        <v>25</v>
      </c>
      <c r="E11" s="4" t="s">
        <v>52</v>
      </c>
      <c r="F11">
        <v>116495.82</v>
      </c>
      <c r="G11">
        <v>36722.76</v>
      </c>
      <c r="H11">
        <v>269152.17</v>
      </c>
      <c r="I11">
        <v>62337.610000000008</v>
      </c>
      <c r="J11">
        <v>86490.32</v>
      </c>
      <c r="K11">
        <v>100087.49</v>
      </c>
      <c r="L11">
        <v>80001.959999999992</v>
      </c>
      <c r="M11">
        <v>164129.16</v>
      </c>
      <c r="O11">
        <v>915417.28999999992</v>
      </c>
    </row>
    <row r="12" spans="1:22" x14ac:dyDescent="0.3">
      <c r="A12" s="5" t="s">
        <v>26</v>
      </c>
      <c r="B12">
        <v>1123620.2799999998</v>
      </c>
      <c r="E12" s="4" t="s">
        <v>53</v>
      </c>
      <c r="F12">
        <v>142792.95000000001</v>
      </c>
      <c r="G12">
        <v>133434.47999999998</v>
      </c>
      <c r="H12">
        <v>179782.91000000003</v>
      </c>
      <c r="I12">
        <v>99196.44</v>
      </c>
      <c r="J12">
        <v>57611.439999999995</v>
      </c>
      <c r="K12">
        <v>66935.899999999994</v>
      </c>
      <c r="L12">
        <v>71867.11</v>
      </c>
      <c r="M12">
        <v>85241.43</v>
      </c>
      <c r="O12">
        <v>836862.65999999992</v>
      </c>
    </row>
    <row r="13" spans="1:22" x14ac:dyDescent="0.3">
      <c r="A13" s="5" t="s">
        <v>27</v>
      </c>
      <c r="B13">
        <v>1625374.2699999998</v>
      </c>
      <c r="E13" s="4" t="s">
        <v>54</v>
      </c>
      <c r="F13">
        <v>164004.12</v>
      </c>
      <c r="G13">
        <v>141725.49</v>
      </c>
      <c r="H13">
        <v>139357.76000000001</v>
      </c>
      <c r="I13">
        <v>48392.399999999994</v>
      </c>
      <c r="J13">
        <v>132081.69</v>
      </c>
      <c r="K13">
        <v>47447.6</v>
      </c>
      <c r="L13">
        <v>87909.239999999991</v>
      </c>
      <c r="M13">
        <v>48876.78</v>
      </c>
      <c r="O13">
        <v>809795.08</v>
      </c>
    </row>
    <row r="14" spans="1:22" x14ac:dyDescent="0.3">
      <c r="A14" s="5" t="s">
        <v>28</v>
      </c>
      <c r="B14">
        <v>1374963.2000000004</v>
      </c>
      <c r="E14" s="4" t="s">
        <v>55</v>
      </c>
      <c r="F14">
        <v>221237.66000000003</v>
      </c>
      <c r="G14">
        <v>74431.839999999997</v>
      </c>
      <c r="H14">
        <v>446627.36000000004</v>
      </c>
      <c r="I14">
        <v>25270.880000000001</v>
      </c>
      <c r="J14">
        <v>236348.66</v>
      </c>
      <c r="K14">
        <v>116219.53</v>
      </c>
      <c r="L14">
        <v>195413.37</v>
      </c>
      <c r="M14">
        <v>70798.84</v>
      </c>
      <c r="O14">
        <v>1386348.1400000004</v>
      </c>
    </row>
    <row r="15" spans="1:22" x14ac:dyDescent="0.3">
      <c r="A15" s="5" t="s">
        <v>29</v>
      </c>
      <c r="B15">
        <v>1141081.71</v>
      </c>
      <c r="E15" s="4" t="s">
        <v>56</v>
      </c>
      <c r="F15">
        <v>135187.61000000002</v>
      </c>
      <c r="G15">
        <v>48950.77</v>
      </c>
      <c r="H15">
        <v>226431.58999999997</v>
      </c>
      <c r="I15">
        <v>126694.14000000001</v>
      </c>
      <c r="J15">
        <v>81641.51999999999</v>
      </c>
      <c r="K15">
        <v>104507.54999999999</v>
      </c>
      <c r="L15">
        <v>103457.59</v>
      </c>
      <c r="M15">
        <v>85019.32</v>
      </c>
      <c r="O15">
        <v>911890.08999999985</v>
      </c>
    </row>
    <row r="16" spans="1:22" x14ac:dyDescent="0.3">
      <c r="A16" s="4" t="s">
        <v>21</v>
      </c>
      <c r="B16">
        <v>9909143.4600000028</v>
      </c>
      <c r="E16" s="4" t="s">
        <v>57</v>
      </c>
      <c r="F16">
        <v>93694.849999999991</v>
      </c>
      <c r="G16">
        <v>168749.64</v>
      </c>
      <c r="H16">
        <v>85761.8</v>
      </c>
      <c r="I16">
        <v>4551.68</v>
      </c>
      <c r="J16">
        <v>96521.67</v>
      </c>
      <c r="K16">
        <v>108198.90000000001</v>
      </c>
      <c r="L16">
        <v>249046.81000000003</v>
      </c>
      <c r="M16">
        <v>92342.819999999992</v>
      </c>
      <c r="O16">
        <v>898868.16999999993</v>
      </c>
    </row>
    <row r="17" spans="1:15" x14ac:dyDescent="0.3">
      <c r="E17" s="4" t="s">
        <v>20</v>
      </c>
    </row>
    <row r="18" spans="1:15" x14ac:dyDescent="0.3">
      <c r="E18" s="4" t="s">
        <v>21</v>
      </c>
      <c r="F18">
        <v>1588456.3000000005</v>
      </c>
      <c r="G18">
        <v>1260786.7799999998</v>
      </c>
      <c r="H18">
        <v>1775916.2</v>
      </c>
      <c r="I18">
        <v>906632.67000000016</v>
      </c>
      <c r="J18">
        <v>1492197.4299999997</v>
      </c>
      <c r="K18">
        <v>1009580.9400000001</v>
      </c>
      <c r="L18">
        <v>1160647.46</v>
      </c>
      <c r="M18">
        <v>841560.25999999989</v>
      </c>
      <c r="O18">
        <v>10035778.040000001</v>
      </c>
    </row>
    <row r="19" spans="1:15" ht="15.6" x14ac:dyDescent="0.3">
      <c r="A19" s="9" t="s">
        <v>43</v>
      </c>
      <c r="B19" s="9" t="s">
        <v>46</v>
      </c>
    </row>
    <row r="21" spans="1:15" x14ac:dyDescent="0.3">
      <c r="A21" s="3" t="s">
        <v>19</v>
      </c>
      <c r="B21" t="s">
        <v>23</v>
      </c>
      <c r="E21" s="11" t="s">
        <v>58</v>
      </c>
      <c r="F21" s="6" t="s">
        <v>59</v>
      </c>
      <c r="I21" s="6" t="s">
        <v>61</v>
      </c>
      <c r="J21" s="6" t="s">
        <v>62</v>
      </c>
    </row>
    <row r="22" spans="1:15" x14ac:dyDescent="0.3">
      <c r="A22" s="4" t="s">
        <v>37</v>
      </c>
      <c r="B22">
        <v>1588456.3000000003</v>
      </c>
      <c r="E22" s="3" t="s">
        <v>19</v>
      </c>
      <c r="F22" t="s">
        <v>60</v>
      </c>
      <c r="I22" s="3" t="s">
        <v>19</v>
      </c>
      <c r="J22" t="s">
        <v>23</v>
      </c>
    </row>
    <row r="23" spans="1:15" x14ac:dyDescent="0.3">
      <c r="A23" s="4" t="s">
        <v>5</v>
      </c>
      <c r="B23">
        <v>1260786.7800000005</v>
      </c>
      <c r="E23" s="4">
        <v>5</v>
      </c>
      <c r="F23">
        <v>144929.80000000002</v>
      </c>
      <c r="I23" s="4" t="s">
        <v>63</v>
      </c>
      <c r="J23">
        <v>1228145.6100000003</v>
      </c>
    </row>
    <row r="24" spans="1:15" x14ac:dyDescent="0.3">
      <c r="A24" s="4" t="s">
        <v>3</v>
      </c>
      <c r="B24">
        <v>1775916.1999999997</v>
      </c>
      <c r="E24" s="4">
        <v>12</v>
      </c>
      <c r="F24">
        <v>398102.51999999984</v>
      </c>
      <c r="I24" s="4" t="s">
        <v>64</v>
      </c>
      <c r="J24">
        <v>818632.59999999986</v>
      </c>
    </row>
    <row r="25" spans="1:15" x14ac:dyDescent="0.3">
      <c r="A25" s="4" t="s">
        <v>38</v>
      </c>
      <c r="B25">
        <v>906632.66999999981</v>
      </c>
      <c r="E25" s="4">
        <v>18</v>
      </c>
      <c r="F25">
        <v>499824.72000000015</v>
      </c>
      <c r="I25" s="4" t="s">
        <v>65</v>
      </c>
      <c r="J25">
        <v>937850.87000000011</v>
      </c>
    </row>
    <row r="26" spans="1:15" x14ac:dyDescent="0.3">
      <c r="A26" s="4" t="s">
        <v>39</v>
      </c>
      <c r="B26">
        <v>1492197.43</v>
      </c>
      <c r="E26" s="4" t="s">
        <v>20</v>
      </c>
      <c r="I26" s="4" t="s">
        <v>66</v>
      </c>
      <c r="J26">
        <v>1167164.5</v>
      </c>
    </row>
    <row r="27" spans="1:15" x14ac:dyDescent="0.3">
      <c r="A27" s="4" t="s">
        <v>40</v>
      </c>
      <c r="B27">
        <v>1009580.9399999998</v>
      </c>
      <c r="E27" s="4" t="s">
        <v>21</v>
      </c>
      <c r="F27">
        <v>1042857.04</v>
      </c>
      <c r="I27" s="4" t="s">
        <v>67</v>
      </c>
      <c r="J27">
        <v>854315.85</v>
      </c>
    </row>
    <row r="28" spans="1:15" x14ac:dyDescent="0.3">
      <c r="A28" s="4" t="s">
        <v>41</v>
      </c>
      <c r="B28">
        <v>1160647.4600000002</v>
      </c>
      <c r="I28" s="4" t="s">
        <v>68</v>
      </c>
      <c r="J28">
        <v>675497.94999999984</v>
      </c>
    </row>
    <row r="29" spans="1:15" x14ac:dyDescent="0.3">
      <c r="A29" s="4" t="s">
        <v>1</v>
      </c>
      <c r="B29">
        <v>841560.25999999989</v>
      </c>
      <c r="I29" s="4" t="s">
        <v>69</v>
      </c>
      <c r="J29">
        <v>975697.45999999985</v>
      </c>
    </row>
    <row r="30" spans="1:15" x14ac:dyDescent="0.3">
      <c r="A30" s="4" t="s">
        <v>20</v>
      </c>
      <c r="I30" s="4" t="s">
        <v>70</v>
      </c>
      <c r="J30">
        <v>1084537.7300000002</v>
      </c>
    </row>
    <row r="31" spans="1:15" x14ac:dyDescent="0.3">
      <c r="A31" s="4" t="s">
        <v>21</v>
      </c>
      <c r="B31">
        <v>10035778.040000001</v>
      </c>
      <c r="I31" s="4" t="s">
        <v>71</v>
      </c>
      <c r="J31">
        <v>1198533.6300000001</v>
      </c>
    </row>
    <row r="32" spans="1:15" x14ac:dyDescent="0.3">
      <c r="I32" s="4" t="s">
        <v>72</v>
      </c>
      <c r="J32">
        <v>1095401.8399999999</v>
      </c>
    </row>
    <row r="33" spans="9:10" x14ac:dyDescent="0.3">
      <c r="I33" s="4" t="s">
        <v>20</v>
      </c>
    </row>
    <row r="34" spans="9:10" x14ac:dyDescent="0.3">
      <c r="I34" s="4" t="s">
        <v>21</v>
      </c>
      <c r="J34">
        <v>10035778.040000001</v>
      </c>
    </row>
  </sheetData>
  <mergeCells count="2">
    <mergeCell ref="A1:K2"/>
    <mergeCell ref="L1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B948-E9A3-4CBA-8C16-29B13523F0BB}">
  <dimension ref="A1:O25"/>
  <sheetViews>
    <sheetView workbookViewId="0">
      <selection activeCell="G10" sqref="G10"/>
    </sheetView>
  </sheetViews>
  <sheetFormatPr defaultRowHeight="14.4" x14ac:dyDescent="0.3"/>
  <cols>
    <col min="1" max="1" width="11.44140625" style="15" customWidth="1"/>
    <col min="2" max="2" width="22.44140625" style="15" customWidth="1"/>
    <col min="3" max="3" width="16.5546875" style="15" customWidth="1"/>
    <col min="4" max="4" width="15.44140625" style="15" customWidth="1"/>
    <col min="5" max="5" width="24" style="15" customWidth="1"/>
    <col min="6" max="6" width="6.21875" style="15" customWidth="1"/>
    <col min="7" max="16384" width="8.88671875" style="15"/>
  </cols>
  <sheetData>
    <row r="1" spans="1:15" ht="18" x14ac:dyDescent="0.35">
      <c r="A1" s="17" t="s">
        <v>73</v>
      </c>
      <c r="B1" s="17" t="s">
        <v>74</v>
      </c>
      <c r="C1" s="17" t="s">
        <v>75</v>
      </c>
      <c r="D1" s="17" t="s">
        <v>76</v>
      </c>
      <c r="E1" s="17" t="s">
        <v>77</v>
      </c>
    </row>
    <row r="2" spans="1:15" x14ac:dyDescent="0.3">
      <c r="A2" s="14">
        <v>44927</v>
      </c>
      <c r="B2" s="15">
        <f>GETPIVOTDATA("Total Expenses",'PIVOT TABLE'!$A$4,"Months (Date)",1,"Years (Date)",2023)</f>
        <v>190105.27</v>
      </c>
      <c r="C2" s="18">
        <f>GETPIVOTDATA("Total Expenses",'PIVOT TABLE'!$F$4,"Months (Date)",1,"Years (Date)",2023)</f>
        <v>15842.105833333333</v>
      </c>
      <c r="D2" s="19">
        <f t="shared" ref="D2:D25" si="0">B3/B2-1</f>
        <v>0.85109124013237558</v>
      </c>
      <c r="E2" s="15">
        <f>B2*(1+D2)</f>
        <v>351902.20000000007</v>
      </c>
      <c r="H2" s="13" t="s">
        <v>78</v>
      </c>
      <c r="I2" s="13"/>
      <c r="J2" s="13"/>
      <c r="K2" s="13"/>
      <c r="L2" s="13"/>
      <c r="M2" s="13"/>
      <c r="N2" s="13"/>
      <c r="O2" s="13"/>
    </row>
    <row r="3" spans="1:15" x14ac:dyDescent="0.3">
      <c r="A3" s="14">
        <v>44958</v>
      </c>
      <c r="B3" s="15">
        <f>GETPIVOTDATA("Total Expenses",'PIVOT TABLE'!$A$4,"Months (Date)",2,"Years (Date)",2023)</f>
        <v>351902.20000000007</v>
      </c>
      <c r="C3" s="18">
        <f>GETPIVOTDATA("Total Expenses",'PIVOT TABLE'!$F$4,"Months (Date)",2,"Years (Date)",2023)</f>
        <v>23460.146666666671</v>
      </c>
      <c r="D3" s="19">
        <f t="shared" si="0"/>
        <v>0.38097644743340564</v>
      </c>
      <c r="E3" s="15">
        <f t="shared" ref="E3:E25" si="1">B3*(1+D3)</f>
        <v>485968.64999999991</v>
      </c>
    </row>
    <row r="4" spans="1:15" x14ac:dyDescent="0.3">
      <c r="A4" s="14">
        <v>44986</v>
      </c>
      <c r="B4" s="15">
        <f>GETPIVOTDATA("Total Expenses",'PIVOT TABLE'!$A$4,"Months (Date)",3,"Years (Date)",2023)</f>
        <v>485968.64999999991</v>
      </c>
      <c r="C4" s="18">
        <f>GETPIVOTDATA("Total Expenses",'PIVOT TABLE'!$F$4,"Months (Date)",3,"Years (Date)",2023)</f>
        <v>32397.909999999993</v>
      </c>
      <c r="D4" s="19">
        <f t="shared" si="0"/>
        <v>-0.19855042089649189</v>
      </c>
      <c r="E4" s="15">
        <f t="shared" si="1"/>
        <v>389479.37</v>
      </c>
    </row>
    <row r="5" spans="1:15" x14ac:dyDescent="0.3">
      <c r="A5" s="14">
        <v>45017</v>
      </c>
      <c r="B5" s="15">
        <f>GETPIVOTDATA("Total Expenses",'PIVOT TABLE'!$A$4,"Months (Date)",4,"Years (Date)",2023)</f>
        <v>389479.37</v>
      </c>
      <c r="C5" s="18">
        <f>GETPIVOTDATA("Total Expenses",'PIVOT TABLE'!$F$4,"Months (Date)",4,"Years (Date)",2023)</f>
        <v>29959.951538461537</v>
      </c>
      <c r="D5" s="19">
        <f t="shared" si="0"/>
        <v>2.201302728819754E-2</v>
      </c>
      <c r="E5" s="15">
        <f t="shared" si="1"/>
        <v>398052.99</v>
      </c>
    </row>
    <row r="6" spans="1:15" x14ac:dyDescent="0.3">
      <c r="A6" s="14">
        <v>45047</v>
      </c>
      <c r="B6" s="15">
        <f>GETPIVOTDATA("Total Expenses",'PIVOT TABLE'!$A$4,"Months (Date)",5,"Years (Date)",2023)</f>
        <v>398052.99</v>
      </c>
      <c r="C6" s="18">
        <f>GETPIVOTDATA("Total Expenses",'PIVOT TABLE'!$F$4,"Months (Date)",5,"Years (Date)",2023)</f>
        <v>28432.356428571427</v>
      </c>
      <c r="D6" s="19">
        <f t="shared" si="0"/>
        <v>0.39587809653182093</v>
      </c>
      <c r="E6" s="15">
        <f t="shared" si="1"/>
        <v>555633.44999999995</v>
      </c>
    </row>
    <row r="7" spans="1:15" x14ac:dyDescent="0.3">
      <c r="A7" s="14">
        <v>45078</v>
      </c>
      <c r="B7" s="15">
        <f>GETPIVOTDATA("Total Expenses",'PIVOT TABLE'!$A$4,"Months (Date)",6,"Years (Date)",2023)</f>
        <v>555633.44999999995</v>
      </c>
      <c r="C7" s="18">
        <f>GETPIVOTDATA("Total Expenses",'PIVOT TABLE'!$F$4,"Months (Date)",6,"Years (Date)",2023)</f>
        <v>30868.524999999998</v>
      </c>
      <c r="D7" s="19">
        <f t="shared" si="0"/>
        <v>-0.14402531021125509</v>
      </c>
      <c r="E7" s="15">
        <f t="shared" si="1"/>
        <v>475608.17000000004</v>
      </c>
    </row>
    <row r="8" spans="1:15" x14ac:dyDescent="0.3">
      <c r="A8" s="14">
        <v>45108</v>
      </c>
      <c r="B8" s="15">
        <f>GETPIVOTDATA("Total Expenses",'PIVOT TABLE'!$A$4,"Months (Date)",7,"Years (Date)",2023)</f>
        <v>475608.17000000004</v>
      </c>
      <c r="C8" s="18">
        <f>GETPIVOTDATA("Total Expenses",'PIVOT TABLE'!$F$4,"Months (Date)",7,"Years (Date)",2023)</f>
        <v>27976.951176470589</v>
      </c>
      <c r="D8" s="19">
        <f t="shared" si="0"/>
        <v>0.12607758609361119</v>
      </c>
      <c r="E8" s="15">
        <f t="shared" si="1"/>
        <v>535571.69999999995</v>
      </c>
    </row>
    <row r="9" spans="1:15" x14ac:dyDescent="0.3">
      <c r="A9" s="14">
        <v>45139</v>
      </c>
      <c r="B9" s="15">
        <f>GETPIVOTDATA("Total Expenses",'PIVOT TABLE'!$A$4,"Months (Date)",8,"Years (Date)",2023)</f>
        <v>535571.69999999995</v>
      </c>
      <c r="C9" s="18">
        <f>GETPIVOTDATA("Total Expenses",'PIVOT TABLE'!$F$4,"Months (Date)",8,"Years (Date)",2023)</f>
        <v>31504.21764705882</v>
      </c>
      <c r="D9" s="19">
        <f t="shared" si="0"/>
        <v>-0.36038069225838476</v>
      </c>
      <c r="E9" s="15">
        <f t="shared" si="1"/>
        <v>342562</v>
      </c>
    </row>
    <row r="10" spans="1:15" x14ac:dyDescent="0.3">
      <c r="A10" s="14">
        <v>45170</v>
      </c>
      <c r="B10" s="15">
        <f>GETPIVOTDATA("Total Expenses",'PIVOT TABLE'!$A$4,"Months (Date)",9,"Years (Date)",2023)</f>
        <v>342562</v>
      </c>
      <c r="C10" s="18">
        <f>GETPIVOTDATA("Total Expenses",'PIVOT TABLE'!$F$4,"Months (Date)",9,"Years (Date)",2023)</f>
        <v>31142</v>
      </c>
      <c r="D10" s="19">
        <f t="shared" si="0"/>
        <v>4.7769221338035184E-2</v>
      </c>
      <c r="E10" s="15">
        <f t="shared" si="1"/>
        <v>358925.92</v>
      </c>
    </row>
    <row r="11" spans="1:15" x14ac:dyDescent="0.3">
      <c r="A11" s="14">
        <v>45200</v>
      </c>
      <c r="B11" s="15">
        <f>GETPIVOTDATA("Total Expenses",'PIVOT TABLE'!$A$4,"Months (Date)",10,"Years (Date)",2023)</f>
        <v>358925.92000000004</v>
      </c>
      <c r="C11" s="18">
        <f>GETPIVOTDATA("Total Expenses",'PIVOT TABLE'!$F$4,"Months (Date)",10,"Years (Date)",2023)</f>
        <v>22432.870000000003</v>
      </c>
      <c r="D11" s="19">
        <f t="shared" si="0"/>
        <v>-0.36520045696337566</v>
      </c>
      <c r="E11" s="15">
        <f t="shared" si="1"/>
        <v>227846.01</v>
      </c>
    </row>
    <row r="12" spans="1:15" x14ac:dyDescent="0.3">
      <c r="A12" s="14">
        <v>45231</v>
      </c>
      <c r="B12" s="15">
        <f>GETPIVOTDATA("Total Expenses",'PIVOT TABLE'!$A$4,"Months (Date)",11,"Years (Date)",2023)</f>
        <v>227846.01</v>
      </c>
      <c r="C12" s="18">
        <f>GETPIVOTDATA("Total Expenses",'PIVOT TABLE'!$F$4,"Months (Date)",11,"Years (Date)",2023)</f>
        <v>28480.751250000001</v>
      </c>
      <c r="D12" s="19">
        <f t="shared" si="0"/>
        <v>0.6964983938055358</v>
      </c>
      <c r="E12" s="15">
        <f t="shared" si="1"/>
        <v>386540.39000000007</v>
      </c>
    </row>
    <row r="13" spans="1:15" x14ac:dyDescent="0.3">
      <c r="A13" s="14">
        <v>45261</v>
      </c>
      <c r="B13" s="15">
        <f>GETPIVOTDATA("Total Expenses",'PIVOT TABLE'!$A$4,"Months (Date)",12,"Years (Date)",2023)</f>
        <v>386540.39000000007</v>
      </c>
      <c r="C13" s="18">
        <f>GETPIVOTDATA("Total Expenses",'PIVOT TABLE'!$F$4,"Months (Date)",12,"Years (Date)",2023)</f>
        <v>25769.359333333337</v>
      </c>
      <c r="D13" s="19">
        <f t="shared" si="0"/>
        <v>3.8997891009526775E-2</v>
      </c>
      <c r="E13" s="15">
        <f t="shared" si="1"/>
        <v>401614.65</v>
      </c>
    </row>
    <row r="14" spans="1:15" x14ac:dyDescent="0.3">
      <c r="A14" s="14">
        <v>45292</v>
      </c>
      <c r="B14" s="15">
        <f>GETPIVOTDATA("Total Expenses",'PIVOT TABLE'!$A$4,"Months (Date)",1,"Years (Date)",2024)</f>
        <v>401614.65</v>
      </c>
      <c r="C14" s="18">
        <f>GETPIVOTDATA("Total Expenses",'PIVOT TABLE'!$F$4,"Months (Date)",1,"Years (Date)",2024)</f>
        <v>30893.434615384616</v>
      </c>
      <c r="D14" s="19">
        <f t="shared" si="0"/>
        <v>0.39709290983284617</v>
      </c>
      <c r="E14" s="15">
        <f t="shared" si="1"/>
        <v>561092.9800000001</v>
      </c>
    </row>
    <row r="15" spans="1:15" x14ac:dyDescent="0.3">
      <c r="A15" s="14">
        <v>45323</v>
      </c>
      <c r="B15" s="15">
        <f>GETPIVOTDATA("Total Expenses",'PIVOT TABLE'!$A$4,"Months (Date)",2,"Years (Date)",2024)</f>
        <v>561092.9800000001</v>
      </c>
      <c r="C15" s="18">
        <f>GETPIVOTDATA("Total Expenses",'PIVOT TABLE'!$F$4,"Months (Date)",2,"Years (Date)",2024)</f>
        <v>29531.209473684215</v>
      </c>
      <c r="D15" s="19">
        <f t="shared" si="0"/>
        <v>8.1596797022839063E-2</v>
      </c>
      <c r="E15" s="15">
        <f t="shared" si="1"/>
        <v>606876.37</v>
      </c>
    </row>
    <row r="16" spans="1:15" x14ac:dyDescent="0.3">
      <c r="A16" s="14">
        <v>45352</v>
      </c>
      <c r="B16" s="15">
        <f>GETPIVOTDATA("Total Expenses",'PIVOT TABLE'!$A$4,"Months (Date)",3,"Years (Date)",2024)</f>
        <v>606876.37</v>
      </c>
      <c r="C16" s="18">
        <f>GETPIVOTDATA("Total Expenses",'PIVOT TABLE'!$F$4,"Months (Date)",3,"Years (Date)",2024)</f>
        <v>22476.902592592593</v>
      </c>
      <c r="D16" s="19">
        <f t="shared" si="0"/>
        <v>-0.59275891727338148</v>
      </c>
      <c r="E16" s="15">
        <f t="shared" si="1"/>
        <v>247144.98999999996</v>
      </c>
    </row>
    <row r="17" spans="1:5" x14ac:dyDescent="0.3">
      <c r="A17" s="14">
        <v>45383</v>
      </c>
      <c r="B17" s="15">
        <f>GETPIVOTDATA("Total Expenses",'PIVOT TABLE'!$A$4,"Months (Date)",4,"Years (Date)",2024)</f>
        <v>247144.98999999996</v>
      </c>
      <c r="C17" s="18">
        <f>GETPIVOTDATA("Total Expenses",'PIVOT TABLE'!$F$4,"Months (Date)",4,"Years (Date)",2024)</f>
        <v>20595.415833333329</v>
      </c>
      <c r="D17" s="19">
        <f t="shared" si="0"/>
        <v>1.0015586397280396</v>
      </c>
      <c r="E17" s="15">
        <f t="shared" si="1"/>
        <v>494675.18999999989</v>
      </c>
    </row>
    <row r="18" spans="1:5" x14ac:dyDescent="0.3">
      <c r="A18" s="14">
        <v>45413</v>
      </c>
      <c r="B18" s="15">
        <f>GETPIVOTDATA("Total Expenses",'PIVOT TABLE'!$A$4,"Months (Date)",5,"Years (Date)",2024)</f>
        <v>494675.18999999989</v>
      </c>
      <c r="C18" s="18">
        <f>GETPIVOTDATA("Total Expenses",'PIVOT TABLE'!$F$4,"Months (Date)",5,"Years (Date)",2024)</f>
        <v>27481.954999999994</v>
      </c>
      <c r="D18" s="19">
        <f t="shared" si="0"/>
        <v>-0.34435389816093265</v>
      </c>
      <c r="E18" s="15">
        <f t="shared" si="1"/>
        <v>324331.85999999993</v>
      </c>
    </row>
    <row r="19" spans="1:5" x14ac:dyDescent="0.3">
      <c r="A19" s="14">
        <v>45444</v>
      </c>
      <c r="B19" s="15">
        <f>GETPIVOTDATA("Total Expenses",'PIVOT TABLE'!$A$4,"Months (Date)",6,"Years (Date)",2024)</f>
        <v>324331.85999999993</v>
      </c>
      <c r="C19" s="18">
        <f>GETPIVOTDATA("Total Expenses",'PIVOT TABLE'!$F$4,"Months (Date)",6,"Years (Date)",2024)</f>
        <v>29484.714545454539</v>
      </c>
      <c r="D19" s="19">
        <f t="shared" si="0"/>
        <v>1.2716049542589092E-2</v>
      </c>
      <c r="E19" s="15">
        <f t="shared" si="1"/>
        <v>328456.08</v>
      </c>
    </row>
    <row r="20" spans="1:5" x14ac:dyDescent="0.3">
      <c r="A20" s="14">
        <v>45474</v>
      </c>
      <c r="B20" s="15">
        <f>GETPIVOTDATA("Total Expenses",'PIVOT TABLE'!$A$4,"Months (Date)",7,"Years (Date)",2024)</f>
        <v>328456.08</v>
      </c>
      <c r="C20" s="15">
        <f>GETPIVOTDATA("Total Expenses",'PIVOT TABLE'!$F$4,"Months (Date)",7,"Years (Date)",2024)</f>
        <v>27371.34</v>
      </c>
      <c r="D20" s="19">
        <f t="shared" si="0"/>
        <v>0.20059001495725082</v>
      </c>
      <c r="E20" s="15">
        <f t="shared" si="1"/>
        <v>394341.08999999997</v>
      </c>
    </row>
    <row r="21" spans="1:5" x14ac:dyDescent="0.3">
      <c r="A21" s="14">
        <v>45505</v>
      </c>
      <c r="B21" s="15">
        <f>GETPIVOTDATA("Total Expenses",'PIVOT TABLE'!$A$4,"Months (Date)",8,"Years (Date)",2024)</f>
        <v>394341.08999999997</v>
      </c>
      <c r="C21" s="15">
        <f>GETPIVOTDATA("Total Expenses",'PIVOT TABLE'!$F$4,"Months (Date)",8,"Years (Date)",2024)</f>
        <v>30333.929999999997</v>
      </c>
      <c r="D21" s="19">
        <f t="shared" si="0"/>
        <v>6.9638215992150476E-2</v>
      </c>
      <c r="E21" s="15">
        <f t="shared" si="1"/>
        <v>421802.3</v>
      </c>
    </row>
    <row r="22" spans="1:5" x14ac:dyDescent="0.3">
      <c r="A22" s="14">
        <v>45536</v>
      </c>
      <c r="B22" s="15">
        <f>GETPIVOTDATA("Total Expenses",'PIVOT TABLE'!$A$4,"Months (Date)",9,"Years (Date)",2024)</f>
        <v>421802.3</v>
      </c>
      <c r="C22" s="18">
        <f>GETPIVOTDATA("Total Expenses",'PIVOT TABLE'!$F$4,"Months (Date)",9,"Years (Date)",2024)</f>
        <v>28120.153333333332</v>
      </c>
      <c r="D22" s="19">
        <f t="shared" si="0"/>
        <v>0.35249070476856148</v>
      </c>
      <c r="E22" s="15">
        <f t="shared" si="1"/>
        <v>570483.69000000018</v>
      </c>
    </row>
    <row r="23" spans="1:5" x14ac:dyDescent="0.3">
      <c r="A23" s="14">
        <v>45566</v>
      </c>
      <c r="B23" s="15">
        <f>GETPIVOTDATA("Total Expenses",'PIVOT TABLE'!$A$4,"Months (Date)",10,"Years (Date)",2024)</f>
        <v>570483.69000000018</v>
      </c>
      <c r="C23" s="18">
        <f>GETPIVOTDATA("Total Expenses",'PIVOT TABLE'!$F$4,"Months (Date)",10,"Years (Date)",2024)</f>
        <v>27165.890000000007</v>
      </c>
      <c r="D23" s="19">
        <f t="shared" si="0"/>
        <v>-0.24190698598236893</v>
      </c>
      <c r="E23" s="15">
        <f t="shared" si="1"/>
        <v>432479.7</v>
      </c>
    </row>
    <row r="24" spans="1:5" x14ac:dyDescent="0.3">
      <c r="A24" s="14">
        <v>45597</v>
      </c>
      <c r="B24" s="15">
        <f>GETPIVOTDATA("Total Expenses",'PIVOT TABLE'!$A$4,"Months (Date)",11,"Years (Date)",2024)</f>
        <v>432479.7</v>
      </c>
      <c r="C24" s="18">
        <f>GETPIVOTDATA("Total Expenses",'PIVOT TABLE'!$F$4,"Months (Date)",11,"Years (Date)",2024)</f>
        <v>30891.407142857144</v>
      </c>
      <c r="D24" s="19">
        <f t="shared" si="0"/>
        <v>0.28163939255414761</v>
      </c>
      <c r="E24" s="15">
        <f t="shared" si="1"/>
        <v>554283.02</v>
      </c>
    </row>
    <row r="25" spans="1:5" x14ac:dyDescent="0.3">
      <c r="A25" s="14">
        <v>45627</v>
      </c>
      <c r="B25" s="15">
        <f>GETPIVOTDATA("Total Expenses",'PIVOT TABLE'!$A$4,"Months (Date)",12,"Years (Date)",2024)</f>
        <v>554283.02</v>
      </c>
      <c r="C25" s="18">
        <f>GETPIVOTDATA("Total Expenses",'PIVOT TABLE'!$F$4,"Months (Date)",12,"Years (Date)",2024)</f>
        <v>30793.501111111113</v>
      </c>
      <c r="D25" s="19">
        <f t="shared" si="0"/>
        <v>-1</v>
      </c>
      <c r="E25" s="15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990D-25CB-4BAF-B673-15B61DE640E8}">
  <dimension ref="A1:H25"/>
  <sheetViews>
    <sheetView tabSelected="1" workbookViewId="0">
      <selection activeCell="F12" sqref="F12"/>
    </sheetView>
  </sheetViews>
  <sheetFormatPr defaultRowHeight="14.4" x14ac:dyDescent="0.3"/>
  <cols>
    <col min="1" max="1" width="19.44140625" style="13" bestFit="1" customWidth="1"/>
    <col min="2" max="2" width="12.21875" style="13" bestFit="1" customWidth="1"/>
    <col min="3" max="3" width="19.6640625" style="13" customWidth="1"/>
    <col min="4" max="4" width="22" style="13" bestFit="1" customWidth="1"/>
    <col min="5" max="5" width="13.33203125" style="13" bestFit="1" customWidth="1"/>
    <col min="6" max="6" width="19.6640625" style="13" customWidth="1"/>
    <col min="7" max="7" width="23.5546875" style="13" customWidth="1"/>
    <col min="8" max="8" width="15.109375" style="13" customWidth="1"/>
    <col min="9" max="9" width="13.33203125" style="13" bestFit="1" customWidth="1"/>
    <col min="10" max="16384" width="8.88671875" style="13"/>
  </cols>
  <sheetData>
    <row r="1" spans="1:8" x14ac:dyDescent="0.3">
      <c r="A1" s="13" t="s">
        <v>73</v>
      </c>
      <c r="B1" s="13" t="s">
        <v>79</v>
      </c>
      <c r="C1" s="13" t="s">
        <v>80</v>
      </c>
      <c r="E1" s="13" t="s">
        <v>73</v>
      </c>
      <c r="F1" s="13" t="s">
        <v>80</v>
      </c>
      <c r="G1" s="13" t="s">
        <v>81</v>
      </c>
      <c r="H1" s="13" t="s">
        <v>88</v>
      </c>
    </row>
    <row r="2" spans="1:8" x14ac:dyDescent="0.3">
      <c r="A2" s="14">
        <v>44927</v>
      </c>
      <c r="B2" s="15">
        <f>GETPIVOTDATA("Total Expenses",'PIVOT TABLE'!$A$4,"Months (Date)",1,"Years (Date)",2023)</f>
        <v>190105.27</v>
      </c>
      <c r="C2" s="20">
        <f>B3/B2-1</f>
        <v>0.85109124013237558</v>
      </c>
      <c r="E2" s="16">
        <v>45658</v>
      </c>
      <c r="F2" s="20">
        <f>AVERAGE(C2:C25)</f>
        <v>7.1226997761864252E-2</v>
      </c>
      <c r="G2" s="24">
        <f>AVERAGE(B2:B25)</f>
        <v>418157.41833333328</v>
      </c>
      <c r="H2" s="13">
        <f>_xlfn.FORECAST.ETS(E2,B2:B25,A2:A25)</f>
        <v>342021.80356513459</v>
      </c>
    </row>
    <row r="3" spans="1:8" x14ac:dyDescent="0.3">
      <c r="A3" s="14">
        <v>44958</v>
      </c>
      <c r="B3" s="15">
        <f>GETPIVOTDATA("Total Expenses",'PIVOT TABLE'!$A$4,"Months (Date)",2,"Years (Date)",2023)</f>
        <v>351902.20000000007</v>
      </c>
      <c r="C3" s="20">
        <f t="shared" ref="C3:C25" si="0">B4/B3-1</f>
        <v>0.38097644743340564</v>
      </c>
    </row>
    <row r="4" spans="1:8" x14ac:dyDescent="0.3">
      <c r="A4" s="14">
        <v>44986</v>
      </c>
      <c r="B4" s="15">
        <f>GETPIVOTDATA("Total Expenses",'PIVOT TABLE'!$A$4,"Months (Date)",3,"Years (Date)",2023)</f>
        <v>485968.64999999991</v>
      </c>
      <c r="C4" s="20">
        <f t="shared" si="0"/>
        <v>-0.19855042089649189</v>
      </c>
    </row>
    <row r="5" spans="1:8" x14ac:dyDescent="0.3">
      <c r="A5" s="14">
        <v>45017</v>
      </c>
      <c r="B5" s="15">
        <f>GETPIVOTDATA("Total Expenses",'PIVOT TABLE'!$A$4,"Months (Date)",4,"Years (Date)",2023)</f>
        <v>389479.37</v>
      </c>
      <c r="C5" s="20">
        <f t="shared" si="0"/>
        <v>2.201302728819754E-2</v>
      </c>
    </row>
    <row r="6" spans="1:8" x14ac:dyDescent="0.3">
      <c r="A6" s="14">
        <v>45047</v>
      </c>
      <c r="B6" s="15">
        <f>GETPIVOTDATA("Total Expenses",'PIVOT TABLE'!$A$4,"Months (Date)",5,"Years (Date)",2023)</f>
        <v>398052.99</v>
      </c>
      <c r="C6" s="20">
        <f t="shared" si="0"/>
        <v>0.39587809653182093</v>
      </c>
    </row>
    <row r="7" spans="1:8" x14ac:dyDescent="0.3">
      <c r="A7" s="14">
        <v>45078</v>
      </c>
      <c r="B7" s="15">
        <f>GETPIVOTDATA("Total Expenses",'PIVOT TABLE'!$A$4,"Months (Date)",6,"Years (Date)",2023)</f>
        <v>555633.44999999995</v>
      </c>
      <c r="C7" s="20">
        <f t="shared" si="0"/>
        <v>-0.14402531021125509</v>
      </c>
    </row>
    <row r="8" spans="1:8" x14ac:dyDescent="0.3">
      <c r="A8" s="14">
        <v>45108</v>
      </c>
      <c r="B8" s="15">
        <f>GETPIVOTDATA("Total Expenses",'PIVOT TABLE'!$A$4,"Months (Date)",7,"Years (Date)",2023)</f>
        <v>475608.17000000004</v>
      </c>
      <c r="C8" s="20">
        <f t="shared" si="0"/>
        <v>0.12607758609361119</v>
      </c>
    </row>
    <row r="9" spans="1:8" x14ac:dyDescent="0.3">
      <c r="A9" s="14">
        <v>45139</v>
      </c>
      <c r="B9" s="15">
        <f>GETPIVOTDATA("Total Expenses",'PIVOT TABLE'!$A$4,"Months (Date)",8,"Years (Date)",2023)</f>
        <v>535571.69999999995</v>
      </c>
      <c r="C9" s="20">
        <f t="shared" si="0"/>
        <v>-0.36038069225838476</v>
      </c>
    </row>
    <row r="10" spans="1:8" x14ac:dyDescent="0.3">
      <c r="A10" s="14">
        <v>45170</v>
      </c>
      <c r="B10" s="15">
        <f>GETPIVOTDATA("Total Expenses",'PIVOT TABLE'!$A$4,"Months (Date)",9,"Years (Date)",2023)</f>
        <v>342562</v>
      </c>
      <c r="C10" s="20">
        <f t="shared" si="0"/>
        <v>4.7769221338035184E-2</v>
      </c>
    </row>
    <row r="11" spans="1:8" x14ac:dyDescent="0.3">
      <c r="A11" s="14">
        <v>45200</v>
      </c>
      <c r="B11" s="15">
        <f>GETPIVOTDATA("Total Expenses",'PIVOT TABLE'!$A$4,"Months (Date)",10,"Years (Date)",2023)</f>
        <v>358925.92000000004</v>
      </c>
      <c r="C11" s="20">
        <f t="shared" si="0"/>
        <v>-0.36520045696337566</v>
      </c>
    </row>
    <row r="12" spans="1:8" x14ac:dyDescent="0.3">
      <c r="A12" s="14">
        <v>45231</v>
      </c>
      <c r="B12" s="15">
        <f>GETPIVOTDATA("Total Expenses",'PIVOT TABLE'!$A$4,"Months (Date)",11,"Years (Date)",2023)</f>
        <v>227846.01</v>
      </c>
      <c r="C12" s="20">
        <f t="shared" si="0"/>
        <v>0.6964983938055358</v>
      </c>
    </row>
    <row r="13" spans="1:8" x14ac:dyDescent="0.3">
      <c r="A13" s="14">
        <v>45261</v>
      </c>
      <c r="B13" s="15">
        <f>GETPIVOTDATA("Total Expenses",'PIVOT TABLE'!$A$4,"Months (Date)",12,"Years (Date)",2023)</f>
        <v>386540.39000000007</v>
      </c>
      <c r="C13" s="20">
        <f t="shared" si="0"/>
        <v>3.8997891009526775E-2</v>
      </c>
    </row>
    <row r="14" spans="1:8" x14ac:dyDescent="0.3">
      <c r="A14" s="14">
        <v>45292</v>
      </c>
      <c r="B14" s="15">
        <f>GETPIVOTDATA("Total Expenses",'PIVOT TABLE'!$A$4,"Months (Date)",1,"Years (Date)",2024)</f>
        <v>401614.65</v>
      </c>
      <c r="C14" s="20">
        <f t="shared" si="0"/>
        <v>0.39709290983284617</v>
      </c>
    </row>
    <row r="15" spans="1:8" x14ac:dyDescent="0.3">
      <c r="A15" s="14">
        <v>45323</v>
      </c>
      <c r="B15" s="15">
        <f>GETPIVOTDATA("Total Expenses",'PIVOT TABLE'!$A$4,"Months (Date)",2,"Years (Date)",2024)</f>
        <v>561092.9800000001</v>
      </c>
      <c r="C15" s="20">
        <f t="shared" si="0"/>
        <v>8.1596797022839063E-2</v>
      </c>
    </row>
    <row r="16" spans="1:8" x14ac:dyDescent="0.3">
      <c r="A16" s="14">
        <v>45352</v>
      </c>
      <c r="B16" s="15">
        <f>GETPIVOTDATA("Total Expenses",'PIVOT TABLE'!$A$4,"Months (Date)",3,"Years (Date)",2024)</f>
        <v>606876.37</v>
      </c>
      <c r="C16" s="20">
        <f t="shared" si="0"/>
        <v>-0.59275891727338148</v>
      </c>
    </row>
    <row r="17" spans="1:3" x14ac:dyDescent="0.3">
      <c r="A17" s="14">
        <v>45383</v>
      </c>
      <c r="B17" s="15">
        <f>GETPIVOTDATA("Total Expenses",'PIVOT TABLE'!$A$4,"Months (Date)",4,"Years (Date)",2024)</f>
        <v>247144.98999999996</v>
      </c>
      <c r="C17" s="20">
        <f t="shared" si="0"/>
        <v>1.0015586397280396</v>
      </c>
    </row>
    <row r="18" spans="1:3" x14ac:dyDescent="0.3">
      <c r="A18" s="14">
        <v>45413</v>
      </c>
      <c r="B18" s="15">
        <f>GETPIVOTDATA("Total Expenses",'PIVOT TABLE'!$A$4,"Months (Date)",5,"Years (Date)",2024)</f>
        <v>494675.18999999989</v>
      </c>
      <c r="C18" s="20">
        <f t="shared" si="0"/>
        <v>-0.34435389816093265</v>
      </c>
    </row>
    <row r="19" spans="1:3" x14ac:dyDescent="0.3">
      <c r="A19" s="14">
        <v>45444</v>
      </c>
      <c r="B19" s="15">
        <f>GETPIVOTDATA("Total Expenses",'PIVOT TABLE'!$A$4,"Months (Date)",6,"Years (Date)",2024)</f>
        <v>324331.85999999993</v>
      </c>
      <c r="C19" s="20">
        <f t="shared" si="0"/>
        <v>1.2716049542589092E-2</v>
      </c>
    </row>
    <row r="20" spans="1:3" x14ac:dyDescent="0.3">
      <c r="A20" s="14">
        <v>45474</v>
      </c>
      <c r="B20" s="15">
        <f>GETPIVOTDATA("Total Expenses",'PIVOT TABLE'!$A$4,"Months (Date)",7,"Years (Date)",2024)</f>
        <v>328456.08</v>
      </c>
      <c r="C20" s="20">
        <f t="shared" si="0"/>
        <v>0.20059001495725082</v>
      </c>
    </row>
    <row r="21" spans="1:3" x14ac:dyDescent="0.3">
      <c r="A21" s="14">
        <v>45505</v>
      </c>
      <c r="B21" s="15">
        <f>GETPIVOTDATA("Total Expenses",'PIVOT TABLE'!$A$4,"Months (Date)",8,"Years (Date)",2024)</f>
        <v>394341.08999999997</v>
      </c>
      <c r="C21" s="20">
        <f t="shared" si="0"/>
        <v>6.9638215992150476E-2</v>
      </c>
    </row>
    <row r="22" spans="1:3" x14ac:dyDescent="0.3">
      <c r="A22" s="14">
        <v>45536</v>
      </c>
      <c r="B22" s="15">
        <f>GETPIVOTDATA("Total Expenses",'PIVOT TABLE'!$A$4,"Months (Date)",9,"Years (Date)",2024)</f>
        <v>421802.3</v>
      </c>
      <c r="C22" s="20">
        <f t="shared" si="0"/>
        <v>0.35249070476856148</v>
      </c>
    </row>
    <row r="23" spans="1:3" x14ac:dyDescent="0.3">
      <c r="A23" s="14">
        <v>45566</v>
      </c>
      <c r="B23" s="15">
        <f>GETPIVOTDATA("Total Expenses",'PIVOT TABLE'!$A$4,"Months (Date)",10,"Years (Date)",2024)</f>
        <v>570483.69000000018</v>
      </c>
      <c r="C23" s="20">
        <f t="shared" si="0"/>
        <v>-0.24190698598236893</v>
      </c>
    </row>
    <row r="24" spans="1:3" x14ac:dyDescent="0.3">
      <c r="A24" s="14">
        <v>45597</v>
      </c>
      <c r="B24" s="15">
        <f>GETPIVOTDATA("Total Expenses",'PIVOT TABLE'!$A$4,"Months (Date)",11,"Years (Date)",2024)</f>
        <v>432479.7</v>
      </c>
      <c r="C24" s="20">
        <f t="shared" si="0"/>
        <v>0.28163939255414761</v>
      </c>
    </row>
    <row r="25" spans="1:3" x14ac:dyDescent="0.3">
      <c r="A25" s="14">
        <v>45627</v>
      </c>
      <c r="B25" s="15">
        <f>GETPIVOTDATA("Total Expenses",'PIVOT TABLE'!$A$4,"Months (Date)",12,"Years (Date)",2024)</f>
        <v>554283.02</v>
      </c>
      <c r="C25" s="20">
        <f t="shared" si="0"/>
        <v>-1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D241-5DB8-4630-9F33-74E53B8CA44D}">
  <dimension ref="A4:G31"/>
  <sheetViews>
    <sheetView workbookViewId="0">
      <selection activeCell="I22" sqref="I22"/>
    </sheetView>
  </sheetViews>
  <sheetFormatPr defaultRowHeight="14.4" x14ac:dyDescent="0.3"/>
  <cols>
    <col min="1" max="1" width="12.5546875" bestFit="1" customWidth="1"/>
    <col min="2" max="2" width="20" bestFit="1" customWidth="1"/>
    <col min="6" max="6" width="12.5546875" bestFit="1" customWidth="1"/>
    <col min="7" max="7" width="23.21875" bestFit="1" customWidth="1"/>
  </cols>
  <sheetData>
    <row r="4" spans="1:7" x14ac:dyDescent="0.3">
      <c r="A4" s="3" t="s">
        <v>19</v>
      </c>
      <c r="B4" t="s">
        <v>23</v>
      </c>
      <c r="F4" s="3" t="s">
        <v>19</v>
      </c>
      <c r="G4" t="s">
        <v>87</v>
      </c>
    </row>
    <row r="5" spans="1:7" x14ac:dyDescent="0.3">
      <c r="A5" s="4" t="s">
        <v>24</v>
      </c>
      <c r="F5" s="4" t="s">
        <v>24</v>
      </c>
    </row>
    <row r="6" spans="1:7" x14ac:dyDescent="0.3">
      <c r="A6" s="5" t="s">
        <v>2</v>
      </c>
      <c r="B6">
        <v>190105.27</v>
      </c>
      <c r="F6" s="5" t="s">
        <v>2</v>
      </c>
      <c r="G6">
        <v>15842.105833333333</v>
      </c>
    </row>
    <row r="7" spans="1:7" x14ac:dyDescent="0.3">
      <c r="A7" s="5" t="s">
        <v>4</v>
      </c>
      <c r="B7">
        <v>351902.20000000007</v>
      </c>
      <c r="F7" s="5" t="s">
        <v>4</v>
      </c>
      <c r="G7">
        <v>23460.146666666671</v>
      </c>
    </row>
    <row r="8" spans="1:7" x14ac:dyDescent="0.3">
      <c r="A8" s="5" t="s">
        <v>6</v>
      </c>
      <c r="B8">
        <v>485968.64999999991</v>
      </c>
      <c r="F8" s="5" t="s">
        <v>6</v>
      </c>
      <c r="G8">
        <v>32397.909999999993</v>
      </c>
    </row>
    <row r="9" spans="1:7" x14ac:dyDescent="0.3">
      <c r="A9" s="5" t="s">
        <v>7</v>
      </c>
      <c r="B9">
        <v>389479.37</v>
      </c>
      <c r="F9" s="5" t="s">
        <v>7</v>
      </c>
      <c r="G9">
        <v>29959.951538461537</v>
      </c>
    </row>
    <row r="10" spans="1:7" x14ac:dyDescent="0.3">
      <c r="A10" s="5" t="s">
        <v>8</v>
      </c>
      <c r="B10">
        <v>398052.99</v>
      </c>
      <c r="F10" s="5" t="s">
        <v>8</v>
      </c>
      <c r="G10">
        <v>28432.356428571427</v>
      </c>
    </row>
    <row r="11" spans="1:7" x14ac:dyDescent="0.3">
      <c r="A11" s="5" t="s">
        <v>30</v>
      </c>
      <c r="B11">
        <v>555633.44999999995</v>
      </c>
      <c r="F11" s="5" t="s">
        <v>30</v>
      </c>
      <c r="G11">
        <v>30868.524999999998</v>
      </c>
    </row>
    <row r="12" spans="1:7" x14ac:dyDescent="0.3">
      <c r="A12" s="5" t="s">
        <v>31</v>
      </c>
      <c r="B12">
        <v>475608.17000000004</v>
      </c>
      <c r="F12" s="5" t="s">
        <v>31</v>
      </c>
      <c r="G12">
        <v>27976.951176470589</v>
      </c>
    </row>
    <row r="13" spans="1:7" x14ac:dyDescent="0.3">
      <c r="A13" s="5" t="s">
        <v>32</v>
      </c>
      <c r="B13">
        <v>535571.69999999995</v>
      </c>
      <c r="F13" s="5" t="s">
        <v>32</v>
      </c>
      <c r="G13">
        <v>31504.21764705882</v>
      </c>
    </row>
    <row r="14" spans="1:7" x14ac:dyDescent="0.3">
      <c r="A14" s="5" t="s">
        <v>33</v>
      </c>
      <c r="B14">
        <v>342562</v>
      </c>
      <c r="F14" s="5" t="s">
        <v>33</v>
      </c>
      <c r="G14">
        <v>31142</v>
      </c>
    </row>
    <row r="15" spans="1:7" x14ac:dyDescent="0.3">
      <c r="A15" s="5" t="s">
        <v>34</v>
      </c>
      <c r="B15">
        <v>358925.92000000004</v>
      </c>
      <c r="F15" s="5" t="s">
        <v>34</v>
      </c>
      <c r="G15">
        <v>22432.870000000003</v>
      </c>
    </row>
    <row r="16" spans="1:7" x14ac:dyDescent="0.3">
      <c r="A16" s="5" t="s">
        <v>35</v>
      </c>
      <c r="B16">
        <v>227846.01</v>
      </c>
      <c r="F16" s="5" t="s">
        <v>35</v>
      </c>
      <c r="G16">
        <v>28480.751250000001</v>
      </c>
    </row>
    <row r="17" spans="1:7" x14ac:dyDescent="0.3">
      <c r="A17" s="5" t="s">
        <v>36</v>
      </c>
      <c r="B17">
        <v>386540.39000000007</v>
      </c>
      <c r="F17" s="5" t="s">
        <v>36</v>
      </c>
      <c r="G17">
        <v>25769.359333333337</v>
      </c>
    </row>
    <row r="18" spans="1:7" x14ac:dyDescent="0.3">
      <c r="A18" s="4" t="s">
        <v>25</v>
      </c>
      <c r="F18" s="4" t="s">
        <v>25</v>
      </c>
    </row>
    <row r="19" spans="1:7" x14ac:dyDescent="0.3">
      <c r="A19" s="5" t="s">
        <v>2</v>
      </c>
      <c r="B19">
        <v>401614.65</v>
      </c>
      <c r="F19" s="5" t="s">
        <v>2</v>
      </c>
      <c r="G19">
        <v>30893.434615384616</v>
      </c>
    </row>
    <row r="20" spans="1:7" x14ac:dyDescent="0.3">
      <c r="A20" s="5" t="s">
        <v>4</v>
      </c>
      <c r="B20">
        <v>561092.9800000001</v>
      </c>
      <c r="F20" s="5" t="s">
        <v>4</v>
      </c>
      <c r="G20">
        <v>29531.209473684215</v>
      </c>
    </row>
    <row r="21" spans="1:7" x14ac:dyDescent="0.3">
      <c r="A21" s="5" t="s">
        <v>6</v>
      </c>
      <c r="B21">
        <v>606876.37</v>
      </c>
      <c r="F21" s="5" t="s">
        <v>6</v>
      </c>
      <c r="G21">
        <v>22476.902592592593</v>
      </c>
    </row>
    <row r="22" spans="1:7" x14ac:dyDescent="0.3">
      <c r="A22" s="5" t="s">
        <v>7</v>
      </c>
      <c r="B22">
        <v>247144.98999999996</v>
      </c>
      <c r="F22" s="5" t="s">
        <v>7</v>
      </c>
      <c r="G22">
        <v>20595.415833333329</v>
      </c>
    </row>
    <row r="23" spans="1:7" x14ac:dyDescent="0.3">
      <c r="A23" s="5" t="s">
        <v>8</v>
      </c>
      <c r="B23">
        <v>494675.18999999989</v>
      </c>
      <c r="F23" s="5" t="s">
        <v>8</v>
      </c>
      <c r="G23">
        <v>27481.954999999994</v>
      </c>
    </row>
    <row r="24" spans="1:7" x14ac:dyDescent="0.3">
      <c r="A24" s="5" t="s">
        <v>30</v>
      </c>
      <c r="B24">
        <v>324331.85999999993</v>
      </c>
      <c r="F24" s="5" t="s">
        <v>30</v>
      </c>
      <c r="G24">
        <v>29484.714545454539</v>
      </c>
    </row>
    <row r="25" spans="1:7" x14ac:dyDescent="0.3">
      <c r="A25" s="5" t="s">
        <v>31</v>
      </c>
      <c r="B25">
        <v>328456.08</v>
      </c>
      <c r="F25" s="5" t="s">
        <v>31</v>
      </c>
      <c r="G25">
        <v>27371.34</v>
      </c>
    </row>
    <row r="26" spans="1:7" x14ac:dyDescent="0.3">
      <c r="A26" s="5" t="s">
        <v>32</v>
      </c>
      <c r="B26">
        <v>394341.08999999997</v>
      </c>
      <c r="F26" s="5" t="s">
        <v>32</v>
      </c>
      <c r="G26">
        <v>30333.929999999997</v>
      </c>
    </row>
    <row r="27" spans="1:7" x14ac:dyDescent="0.3">
      <c r="A27" s="5" t="s">
        <v>33</v>
      </c>
      <c r="B27">
        <v>421802.3</v>
      </c>
      <c r="F27" s="5" t="s">
        <v>33</v>
      </c>
      <c r="G27">
        <v>28120.153333333332</v>
      </c>
    </row>
    <row r="28" spans="1:7" x14ac:dyDescent="0.3">
      <c r="A28" s="5" t="s">
        <v>34</v>
      </c>
      <c r="B28">
        <v>570483.69000000018</v>
      </c>
      <c r="F28" s="5" t="s">
        <v>34</v>
      </c>
      <c r="G28">
        <v>27165.890000000007</v>
      </c>
    </row>
    <row r="29" spans="1:7" x14ac:dyDescent="0.3">
      <c r="A29" s="5" t="s">
        <v>35</v>
      </c>
      <c r="B29">
        <v>432479.7</v>
      </c>
      <c r="F29" s="5" t="s">
        <v>35</v>
      </c>
      <c r="G29">
        <v>30891.407142857144</v>
      </c>
    </row>
    <row r="30" spans="1:7" x14ac:dyDescent="0.3">
      <c r="A30" s="5" t="s">
        <v>36</v>
      </c>
      <c r="B30">
        <v>554283.02</v>
      </c>
      <c r="F30" s="5" t="s">
        <v>36</v>
      </c>
      <c r="G30">
        <v>30793.501111111113</v>
      </c>
    </row>
    <row r="31" spans="1:7" x14ac:dyDescent="0.3">
      <c r="A31" s="4" t="s">
        <v>21</v>
      </c>
      <c r="B31">
        <v>10035778.039999999</v>
      </c>
      <c r="F31" s="4" t="s">
        <v>21</v>
      </c>
      <c r="G31">
        <v>27570.8187912088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</vt:lpstr>
      <vt:lpstr>Raw Data</vt:lpstr>
      <vt:lpstr>MIS SUMMARY</vt:lpstr>
      <vt:lpstr>BUDGETING</vt:lpstr>
      <vt:lpstr>FORECASTING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MISHRA</cp:lastModifiedBy>
  <dcterms:created xsi:type="dcterms:W3CDTF">2025-12-09T10:49:38Z</dcterms:created>
  <dcterms:modified xsi:type="dcterms:W3CDTF">2025-12-09T15:37:47Z</dcterms:modified>
</cp:coreProperties>
</file>