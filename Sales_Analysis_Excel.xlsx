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8_{71387BDD-5DAE-4711-9829-C27FEC6BC354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ssumption" sheetId="6" r:id="rId1"/>
    <sheet name="orders" sheetId="1" r:id="rId2"/>
    <sheet name="Questions" sheetId="2" r:id="rId3"/>
    <sheet name="Net Revenue by Region" sheetId="3" r:id="rId4"/>
    <sheet name="Product Sold" sheetId="7" r:id="rId5"/>
    <sheet name="Higher Discount" sheetId="5" r:id="rId6"/>
  </sheets>
  <definedNames>
    <definedName name="_xlnm._FilterDatabase" localSheetId="1" hidden="1">orders!$A$1:$O$125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2" i="1"/>
  <c r="A4" i="7" a="1"/>
  <c r="A4" i="7" s="1"/>
  <c r="E10" i="1"/>
  <c r="B6" i="2"/>
  <c r="N125" i="1"/>
  <c r="K125" i="1"/>
  <c r="M125" i="1" s="1"/>
  <c r="F125" i="1"/>
  <c r="N124" i="1"/>
  <c r="K124" i="1"/>
  <c r="M124" i="1" s="1"/>
  <c r="F124" i="1"/>
  <c r="N123" i="1"/>
  <c r="K123" i="1"/>
  <c r="M123" i="1" s="1"/>
  <c r="F123" i="1"/>
  <c r="N122" i="1"/>
  <c r="K122" i="1"/>
  <c r="M122" i="1" s="1"/>
  <c r="F122" i="1"/>
  <c r="N121" i="1"/>
  <c r="K121" i="1"/>
  <c r="M121" i="1" s="1"/>
  <c r="F121" i="1"/>
  <c r="N120" i="1"/>
  <c r="K120" i="1"/>
  <c r="M120" i="1" s="1"/>
  <c r="F120" i="1"/>
  <c r="N119" i="1"/>
  <c r="M119" i="1"/>
  <c r="K119" i="1"/>
  <c r="F119" i="1"/>
  <c r="N118" i="1"/>
  <c r="K118" i="1"/>
  <c r="M118" i="1" s="1"/>
  <c r="F118" i="1"/>
  <c r="N117" i="1"/>
  <c r="K117" i="1"/>
  <c r="M117" i="1" s="1"/>
  <c r="F117" i="1"/>
  <c r="N116" i="1"/>
  <c r="K116" i="1"/>
  <c r="M116" i="1" s="1"/>
  <c r="F116" i="1"/>
  <c r="N115" i="1"/>
  <c r="K115" i="1"/>
  <c r="M115" i="1" s="1"/>
  <c r="F115" i="1"/>
  <c r="N114" i="1"/>
  <c r="K114" i="1"/>
  <c r="M114" i="1" s="1"/>
  <c r="F114" i="1"/>
  <c r="N113" i="1"/>
  <c r="K113" i="1"/>
  <c r="M113" i="1" s="1"/>
  <c r="F113" i="1"/>
  <c r="N112" i="1"/>
  <c r="K112" i="1"/>
  <c r="M112" i="1" s="1"/>
  <c r="F112" i="1"/>
  <c r="N111" i="1"/>
  <c r="K111" i="1"/>
  <c r="M111" i="1" s="1"/>
  <c r="F111" i="1"/>
  <c r="N110" i="1"/>
  <c r="M110" i="1"/>
  <c r="K110" i="1"/>
  <c r="F110" i="1"/>
  <c r="N109" i="1"/>
  <c r="K109" i="1"/>
  <c r="M109" i="1" s="1"/>
  <c r="F109" i="1"/>
  <c r="N108" i="1"/>
  <c r="K108" i="1"/>
  <c r="M108" i="1" s="1"/>
  <c r="F108" i="1"/>
  <c r="N107" i="1"/>
  <c r="K107" i="1"/>
  <c r="M107" i="1" s="1"/>
  <c r="F107" i="1"/>
  <c r="N106" i="1"/>
  <c r="K106" i="1"/>
  <c r="M106" i="1" s="1"/>
  <c r="F106" i="1"/>
  <c r="N105" i="1"/>
  <c r="K105" i="1"/>
  <c r="M105" i="1" s="1"/>
  <c r="F105" i="1"/>
  <c r="N104" i="1"/>
  <c r="K104" i="1"/>
  <c r="M104" i="1" s="1"/>
  <c r="F104" i="1"/>
  <c r="N103" i="1"/>
  <c r="K103" i="1"/>
  <c r="M103" i="1" s="1"/>
  <c r="F103" i="1"/>
  <c r="N102" i="1"/>
  <c r="K102" i="1"/>
  <c r="M102" i="1" s="1"/>
  <c r="F102" i="1"/>
  <c r="N101" i="1"/>
  <c r="K101" i="1"/>
  <c r="M101" i="1" s="1"/>
  <c r="F101" i="1"/>
  <c r="N100" i="1"/>
  <c r="K100" i="1"/>
  <c r="M100" i="1" s="1"/>
  <c r="F100" i="1"/>
  <c r="N99" i="1"/>
  <c r="K99" i="1"/>
  <c r="M99" i="1" s="1"/>
  <c r="F99" i="1"/>
  <c r="N98" i="1"/>
  <c r="K98" i="1"/>
  <c r="M98" i="1" s="1"/>
  <c r="F98" i="1"/>
  <c r="N97" i="1"/>
  <c r="K97" i="1"/>
  <c r="M97" i="1" s="1"/>
  <c r="F97" i="1"/>
  <c r="N96" i="1"/>
  <c r="M96" i="1"/>
  <c r="K96" i="1"/>
  <c r="F96" i="1"/>
  <c r="N95" i="1"/>
  <c r="K95" i="1"/>
  <c r="M95" i="1" s="1"/>
  <c r="F95" i="1"/>
  <c r="N94" i="1"/>
  <c r="K94" i="1"/>
  <c r="M94" i="1" s="1"/>
  <c r="F94" i="1"/>
  <c r="N93" i="1"/>
  <c r="K93" i="1"/>
  <c r="M93" i="1" s="1"/>
  <c r="F93" i="1"/>
  <c r="N92" i="1"/>
  <c r="M92" i="1"/>
  <c r="K92" i="1"/>
  <c r="I92" i="1"/>
  <c r="F92" i="1"/>
  <c r="N91" i="1"/>
  <c r="K91" i="1"/>
  <c r="M91" i="1" s="1"/>
  <c r="F91" i="1"/>
  <c r="N90" i="1"/>
  <c r="K90" i="1"/>
  <c r="M90" i="1" s="1"/>
  <c r="F90" i="1"/>
  <c r="N89" i="1"/>
  <c r="K89" i="1"/>
  <c r="M89" i="1" s="1"/>
  <c r="F89" i="1"/>
  <c r="N88" i="1"/>
  <c r="K88" i="1"/>
  <c r="M88" i="1" s="1"/>
  <c r="F88" i="1"/>
  <c r="N87" i="1"/>
  <c r="K87" i="1"/>
  <c r="M87" i="1" s="1"/>
  <c r="F87" i="1"/>
  <c r="N86" i="1"/>
  <c r="K86" i="1"/>
  <c r="M86" i="1" s="1"/>
  <c r="F86" i="1"/>
  <c r="N85" i="1"/>
  <c r="K85" i="1"/>
  <c r="M85" i="1" s="1"/>
  <c r="F85" i="1"/>
  <c r="N84" i="1"/>
  <c r="K84" i="1"/>
  <c r="M84" i="1" s="1"/>
  <c r="F84" i="1"/>
  <c r="N83" i="1"/>
  <c r="K83" i="1"/>
  <c r="M83" i="1" s="1"/>
  <c r="F83" i="1"/>
  <c r="N82" i="1"/>
  <c r="K82" i="1"/>
  <c r="M82" i="1" s="1"/>
  <c r="F82" i="1"/>
  <c r="N81" i="1"/>
  <c r="K81" i="1"/>
  <c r="M81" i="1" s="1"/>
  <c r="F81" i="1"/>
  <c r="N80" i="1"/>
  <c r="K80" i="1"/>
  <c r="M80" i="1" s="1"/>
  <c r="F80" i="1"/>
  <c r="N79" i="1"/>
  <c r="K79" i="1"/>
  <c r="M79" i="1" s="1"/>
  <c r="F79" i="1"/>
  <c r="N78" i="1"/>
  <c r="K78" i="1"/>
  <c r="M78" i="1" s="1"/>
  <c r="F78" i="1"/>
  <c r="N77" i="1"/>
  <c r="K77" i="1"/>
  <c r="M77" i="1" s="1"/>
  <c r="F77" i="1"/>
  <c r="N76" i="1"/>
  <c r="K76" i="1"/>
  <c r="M76" i="1" s="1"/>
  <c r="F76" i="1"/>
  <c r="N75" i="1"/>
  <c r="M75" i="1"/>
  <c r="K75" i="1"/>
  <c r="F75" i="1"/>
  <c r="F10" i="1" s="1"/>
  <c r="N74" i="1"/>
  <c r="K74" i="1"/>
  <c r="M74" i="1" s="1"/>
  <c r="F74" i="1"/>
  <c r="N73" i="1"/>
  <c r="K73" i="1"/>
  <c r="M73" i="1" s="1"/>
  <c r="F73" i="1"/>
  <c r="N72" i="1"/>
  <c r="K72" i="1"/>
  <c r="M72" i="1" s="1"/>
  <c r="F72" i="1"/>
  <c r="N71" i="1"/>
  <c r="K71" i="1"/>
  <c r="M71" i="1" s="1"/>
  <c r="F71" i="1"/>
  <c r="N70" i="1"/>
  <c r="K70" i="1"/>
  <c r="M70" i="1" s="1"/>
  <c r="F70" i="1"/>
  <c r="N69" i="1"/>
  <c r="K69" i="1"/>
  <c r="M69" i="1" s="1"/>
  <c r="F69" i="1"/>
  <c r="N68" i="1"/>
  <c r="M68" i="1"/>
  <c r="K68" i="1"/>
  <c r="F68" i="1"/>
  <c r="N67" i="1"/>
  <c r="K67" i="1"/>
  <c r="M67" i="1" s="1"/>
  <c r="F67" i="1"/>
  <c r="N66" i="1"/>
  <c r="M66" i="1"/>
  <c r="K66" i="1"/>
  <c r="F66" i="1"/>
  <c r="N65" i="1"/>
  <c r="K65" i="1"/>
  <c r="M65" i="1" s="1"/>
  <c r="F65" i="1"/>
  <c r="N64" i="1"/>
  <c r="K64" i="1"/>
  <c r="M64" i="1" s="1"/>
  <c r="F64" i="1"/>
  <c r="N63" i="1"/>
  <c r="K63" i="1"/>
  <c r="M63" i="1" s="1"/>
  <c r="F63" i="1"/>
  <c r="N62" i="1"/>
  <c r="K62" i="1"/>
  <c r="M62" i="1" s="1"/>
  <c r="F62" i="1"/>
  <c r="N61" i="1"/>
  <c r="K61" i="1"/>
  <c r="M61" i="1" s="1"/>
  <c r="F61" i="1"/>
  <c r="N60" i="1"/>
  <c r="K60" i="1"/>
  <c r="M60" i="1" s="1"/>
  <c r="F60" i="1"/>
  <c r="N59" i="1"/>
  <c r="K59" i="1"/>
  <c r="M59" i="1" s="1"/>
  <c r="F59" i="1"/>
  <c r="N58" i="1"/>
  <c r="K58" i="1"/>
  <c r="M58" i="1" s="1"/>
  <c r="F58" i="1"/>
  <c r="N57" i="1"/>
  <c r="M57" i="1"/>
  <c r="K57" i="1"/>
  <c r="F57" i="1"/>
  <c r="N56" i="1"/>
  <c r="K56" i="1"/>
  <c r="M56" i="1" s="1"/>
  <c r="F56" i="1"/>
  <c r="N55" i="1"/>
  <c r="K55" i="1"/>
  <c r="M55" i="1" s="1"/>
  <c r="F55" i="1"/>
  <c r="N54" i="1"/>
  <c r="K54" i="1"/>
  <c r="M54" i="1" s="1"/>
  <c r="F54" i="1"/>
  <c r="N53" i="1"/>
  <c r="K53" i="1"/>
  <c r="M53" i="1" s="1"/>
  <c r="F53" i="1"/>
  <c r="N52" i="1"/>
  <c r="K52" i="1"/>
  <c r="M52" i="1" s="1"/>
  <c r="F52" i="1"/>
  <c r="N51" i="1"/>
  <c r="K51" i="1"/>
  <c r="M51" i="1" s="1"/>
  <c r="F51" i="1"/>
  <c r="N50" i="1"/>
  <c r="K50" i="1"/>
  <c r="M50" i="1" s="1"/>
  <c r="F50" i="1"/>
  <c r="N49" i="1"/>
  <c r="K49" i="1"/>
  <c r="M49" i="1" s="1"/>
  <c r="F49" i="1"/>
  <c r="N48" i="1"/>
  <c r="K48" i="1"/>
  <c r="M48" i="1" s="1"/>
  <c r="F48" i="1"/>
  <c r="N47" i="1"/>
  <c r="K47" i="1"/>
  <c r="M47" i="1" s="1"/>
  <c r="F47" i="1"/>
  <c r="N46" i="1"/>
  <c r="K46" i="1"/>
  <c r="M46" i="1" s="1"/>
  <c r="F46" i="1"/>
  <c r="N45" i="1"/>
  <c r="K45" i="1"/>
  <c r="M45" i="1" s="1"/>
  <c r="F45" i="1"/>
  <c r="N44" i="1"/>
  <c r="K44" i="1"/>
  <c r="M44" i="1" s="1"/>
  <c r="F44" i="1"/>
  <c r="N43" i="1"/>
  <c r="M43" i="1"/>
  <c r="K43" i="1"/>
  <c r="F43" i="1"/>
  <c r="N42" i="1"/>
  <c r="K42" i="1"/>
  <c r="M42" i="1" s="1"/>
  <c r="F42" i="1"/>
  <c r="N41" i="1"/>
  <c r="K41" i="1"/>
  <c r="M41" i="1" s="1"/>
  <c r="F41" i="1"/>
  <c r="N40" i="1"/>
  <c r="M40" i="1"/>
  <c r="K40" i="1"/>
  <c r="F40" i="1"/>
  <c r="N39" i="1"/>
  <c r="K39" i="1"/>
  <c r="M39" i="1" s="1"/>
  <c r="F39" i="1"/>
  <c r="N38" i="1"/>
  <c r="K38" i="1"/>
  <c r="M38" i="1" s="1"/>
  <c r="F38" i="1"/>
  <c r="N37" i="1"/>
  <c r="K37" i="1"/>
  <c r="M37" i="1" s="1"/>
  <c r="F37" i="1"/>
  <c r="N36" i="1"/>
  <c r="K36" i="1"/>
  <c r="M36" i="1" s="1"/>
  <c r="F36" i="1"/>
  <c r="N35" i="1"/>
  <c r="M35" i="1"/>
  <c r="K35" i="1"/>
  <c r="F35" i="1"/>
  <c r="N34" i="1"/>
  <c r="K34" i="1"/>
  <c r="M34" i="1" s="1"/>
  <c r="F34" i="1"/>
  <c r="N33" i="1"/>
  <c r="K33" i="1"/>
  <c r="M33" i="1" s="1"/>
  <c r="F33" i="1"/>
  <c r="N32" i="1"/>
  <c r="K32" i="1"/>
  <c r="M32" i="1" s="1"/>
  <c r="F32" i="1"/>
  <c r="N31" i="1"/>
  <c r="K31" i="1"/>
  <c r="M31" i="1" s="1"/>
  <c r="F31" i="1"/>
  <c r="N30" i="1"/>
  <c r="K30" i="1"/>
  <c r="M30" i="1" s="1"/>
  <c r="F30" i="1"/>
  <c r="N29" i="1"/>
  <c r="K29" i="1"/>
  <c r="M29" i="1" s="1"/>
  <c r="F29" i="1"/>
  <c r="N28" i="1"/>
  <c r="K28" i="1"/>
  <c r="M28" i="1" s="1"/>
  <c r="F28" i="1"/>
  <c r="N27" i="1"/>
  <c r="K27" i="1"/>
  <c r="M27" i="1" s="1"/>
  <c r="F27" i="1"/>
  <c r="N26" i="1"/>
  <c r="M26" i="1"/>
  <c r="K26" i="1"/>
  <c r="F26" i="1"/>
  <c r="N25" i="1"/>
  <c r="K25" i="1"/>
  <c r="M25" i="1" s="1"/>
  <c r="F25" i="1"/>
  <c r="N24" i="1"/>
  <c r="K24" i="1"/>
  <c r="M24" i="1" s="1"/>
  <c r="F24" i="1"/>
  <c r="N23" i="1"/>
  <c r="M23" i="1"/>
  <c r="K23" i="1"/>
  <c r="F23" i="1"/>
  <c r="N22" i="1"/>
  <c r="K22" i="1"/>
  <c r="M22" i="1" s="1"/>
  <c r="F22" i="1"/>
  <c r="N21" i="1"/>
  <c r="K21" i="1"/>
  <c r="M21" i="1" s="1"/>
  <c r="F21" i="1"/>
  <c r="N20" i="1"/>
  <c r="K20" i="1"/>
  <c r="M20" i="1" s="1"/>
  <c r="F20" i="1"/>
  <c r="N19" i="1"/>
  <c r="M19" i="1"/>
  <c r="K19" i="1"/>
  <c r="F19" i="1"/>
  <c r="N18" i="1"/>
  <c r="K18" i="1"/>
  <c r="M18" i="1" s="1"/>
  <c r="F18" i="1"/>
  <c r="N17" i="1"/>
  <c r="K17" i="1"/>
  <c r="M17" i="1" s="1"/>
  <c r="F17" i="1"/>
  <c r="N16" i="1"/>
  <c r="K16" i="1"/>
  <c r="M16" i="1" s="1"/>
  <c r="F16" i="1"/>
  <c r="N15" i="1"/>
  <c r="K15" i="1"/>
  <c r="M15" i="1" s="1"/>
  <c r="F15" i="1"/>
  <c r="N14" i="1"/>
  <c r="K14" i="1"/>
  <c r="M14" i="1" s="1"/>
  <c r="F14" i="1"/>
  <c r="N13" i="1"/>
  <c r="K13" i="1"/>
  <c r="M13" i="1" s="1"/>
  <c r="F13" i="1"/>
  <c r="N12" i="1"/>
  <c r="K12" i="1"/>
  <c r="M12" i="1" s="1"/>
  <c r="F12" i="1"/>
  <c r="N11" i="1"/>
  <c r="K11" i="1"/>
  <c r="M11" i="1" s="1"/>
  <c r="F11" i="1"/>
  <c r="N10" i="1"/>
  <c r="M10" i="1"/>
  <c r="K10" i="1"/>
  <c r="N9" i="1"/>
  <c r="K9" i="1"/>
  <c r="M9" i="1" s="1"/>
  <c r="F9" i="1"/>
  <c r="N8" i="1"/>
  <c r="K8" i="1"/>
  <c r="M8" i="1" s="1"/>
  <c r="F8" i="1"/>
  <c r="N7" i="1"/>
  <c r="K7" i="1"/>
  <c r="M7" i="1" s="1"/>
  <c r="F7" i="1"/>
  <c r="N6" i="1"/>
  <c r="M6" i="1"/>
  <c r="K6" i="1"/>
  <c r="F6" i="1"/>
  <c r="N5" i="1"/>
  <c r="M5" i="1"/>
  <c r="K5" i="1"/>
  <c r="F5" i="1"/>
  <c r="N4" i="1"/>
  <c r="M4" i="1"/>
  <c r="K4" i="1"/>
  <c r="F4" i="1"/>
  <c r="N3" i="1"/>
  <c r="K3" i="1"/>
  <c r="M3" i="1" s="1"/>
  <c r="F3" i="1"/>
  <c r="N2" i="1"/>
  <c r="K2" i="1"/>
  <c r="M2" i="1" s="1"/>
  <c r="F2" i="1"/>
  <c r="E6" i="7" l="1"/>
  <c r="C6" i="7"/>
  <c r="E5" i="7"/>
  <c r="E7" i="7"/>
  <c r="D7" i="7"/>
  <c r="C7" i="7"/>
  <c r="B7" i="7"/>
  <c r="F7" i="7" s="1"/>
  <c r="D6" i="7"/>
  <c r="B6" i="7"/>
  <c r="F6" i="7" s="1"/>
  <c r="E8" i="7"/>
  <c r="D8" i="7"/>
  <c r="D5" i="7"/>
  <c r="F5" i="7" s="1"/>
  <c r="C8" i="7"/>
  <c r="C5" i="7"/>
  <c r="B8" i="7"/>
  <c r="B5" i="7"/>
  <c r="D4" i="7"/>
  <c r="E4" i="7"/>
  <c r="C4" i="7"/>
  <c r="C9" i="7" s="1"/>
  <c r="B4" i="7"/>
  <c r="B5" i="2"/>
  <c r="E9" i="7" l="1"/>
  <c r="F8" i="7"/>
  <c r="D9" i="7"/>
  <c r="F4" i="7"/>
  <c r="B9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<sst xmlns="http://schemas.openxmlformats.org/spreadsheetml/2006/main" count="811" uniqueCount="270">
  <si>
    <t>Order ID</t>
  </si>
  <si>
    <t>Order Date</t>
  </si>
  <si>
    <t>Customer Name</t>
  </si>
  <si>
    <t>Region</t>
  </si>
  <si>
    <t>Raw Name</t>
  </si>
  <si>
    <t>Salesperson Name</t>
  </si>
  <si>
    <t>Product</t>
  </si>
  <si>
    <t>Quantity</t>
  </si>
  <si>
    <t>Unit Price</t>
  </si>
  <si>
    <t>Raw Discount %</t>
  </si>
  <si>
    <t>Discount%</t>
  </si>
  <si>
    <t>Payment Status</t>
  </si>
  <si>
    <t>Net Revenue</t>
  </si>
  <si>
    <t>Revenue</t>
  </si>
  <si>
    <t>Month</t>
  </si>
  <si>
    <t>O001</t>
  </si>
  <si>
    <t>Megha S</t>
  </si>
  <si>
    <t>South</t>
  </si>
  <si>
    <t>Neha Sharma</t>
  </si>
  <si>
    <t>Printer</t>
  </si>
  <si>
    <t>Paid</t>
  </si>
  <si>
    <t>O002</t>
  </si>
  <si>
    <t>Naveen</t>
  </si>
  <si>
    <t>RIYA GUPTA</t>
  </si>
  <si>
    <t>Office Chair</t>
  </si>
  <si>
    <t>O003</t>
  </si>
  <si>
    <t>Sahil</t>
  </si>
  <si>
    <t>North</t>
  </si>
  <si>
    <t>srikanth verma</t>
  </si>
  <si>
    <t>Mobile</t>
  </si>
  <si>
    <t>Pending</t>
  </si>
  <si>
    <t>O004</t>
  </si>
  <si>
    <t>Maya</t>
  </si>
  <si>
    <t>West</t>
  </si>
  <si>
    <t>O005</t>
  </si>
  <si>
    <t>Ramesh K</t>
  </si>
  <si>
    <t>Srikanth Verma</t>
  </si>
  <si>
    <t>Laptop</t>
  </si>
  <si>
    <t>O006</t>
  </si>
  <si>
    <t>Arjun Reddy</t>
  </si>
  <si>
    <t>East</t>
  </si>
  <si>
    <t>Anita Joseph</t>
  </si>
  <si>
    <t>O007</t>
  </si>
  <si>
    <t>Priya</t>
  </si>
  <si>
    <t>RAHUL NAIR</t>
  </si>
  <si>
    <t>O008</t>
  </si>
  <si>
    <t>Deepa Menon</t>
  </si>
  <si>
    <t>O009</t>
  </si>
  <si>
    <t>Manju S</t>
  </si>
  <si>
    <t>Unpaid</t>
  </si>
  <si>
    <t>O010</t>
  </si>
  <si>
    <t>O011</t>
  </si>
  <si>
    <t>Kamal</t>
  </si>
  <si>
    <t>Desk</t>
  </si>
  <si>
    <t>O012</t>
  </si>
  <si>
    <t>Sunil</t>
  </si>
  <si>
    <t>Rahul Nair</t>
  </si>
  <si>
    <t>O013</t>
  </si>
  <si>
    <t>Aditya</t>
  </si>
  <si>
    <t>O014</t>
  </si>
  <si>
    <t>O015</t>
  </si>
  <si>
    <t>Suresh</t>
  </si>
  <si>
    <t>O016</t>
  </si>
  <si>
    <t>Ritu</t>
  </si>
  <si>
    <t>O017</t>
  </si>
  <si>
    <t>Kishore</t>
  </si>
  <si>
    <t>O018</t>
  </si>
  <si>
    <t>Arun Kumar</t>
  </si>
  <si>
    <t>O019</t>
  </si>
  <si>
    <t>Tanvi</t>
  </si>
  <si>
    <t>ANITA JOSEPH</t>
  </si>
  <si>
    <t>O020</t>
  </si>
  <si>
    <t>Gita</t>
  </si>
  <si>
    <t>O021</t>
  </si>
  <si>
    <t>Neetu</t>
  </si>
  <si>
    <t>O022</t>
  </si>
  <si>
    <t>Rohit</t>
  </si>
  <si>
    <t>O023</t>
  </si>
  <si>
    <t>Kiran</t>
  </si>
  <si>
    <t>O024</t>
  </si>
  <si>
    <t>Dinesh</t>
  </si>
  <si>
    <t>O025</t>
  </si>
  <si>
    <t>Sakshi</t>
  </si>
  <si>
    <t>O026</t>
  </si>
  <si>
    <t>Vagdevi</t>
  </si>
  <si>
    <t>O027</t>
  </si>
  <si>
    <t>Mahesh</t>
  </si>
  <si>
    <t>O028</t>
  </si>
  <si>
    <t>Shalini S</t>
  </si>
  <si>
    <t>O029</t>
  </si>
  <si>
    <t>Neha</t>
  </si>
  <si>
    <t>O030</t>
  </si>
  <si>
    <t>Bhavana</t>
  </si>
  <si>
    <t>O031</t>
  </si>
  <si>
    <t>Ramesh</t>
  </si>
  <si>
    <t>O032</t>
  </si>
  <si>
    <t>Arun K</t>
  </si>
  <si>
    <t>O033</t>
  </si>
  <si>
    <t>Sameer</t>
  </si>
  <si>
    <t>O034</t>
  </si>
  <si>
    <t>Asha</t>
  </si>
  <si>
    <t>O035</t>
  </si>
  <si>
    <t>Veena Varma</t>
  </si>
  <si>
    <t>O036</t>
  </si>
  <si>
    <t>Sunita</t>
  </si>
  <si>
    <t>O037</t>
  </si>
  <si>
    <t>Prakash</t>
  </si>
  <si>
    <t>O038</t>
  </si>
  <si>
    <t>Kavita</t>
  </si>
  <si>
    <t>O039</t>
  </si>
  <si>
    <t>Ram</t>
  </si>
  <si>
    <t>O040</t>
  </si>
  <si>
    <t>Anil</t>
  </si>
  <si>
    <t>O041</t>
  </si>
  <si>
    <t>O042</t>
  </si>
  <si>
    <t>Jaya</t>
  </si>
  <si>
    <t>neha sharma</t>
  </si>
  <si>
    <t>O043</t>
  </si>
  <si>
    <t>Anita</t>
  </si>
  <si>
    <t>O044</t>
  </si>
  <si>
    <t>Praveen</t>
  </si>
  <si>
    <t>O045</t>
  </si>
  <si>
    <t>Nikita</t>
  </si>
  <si>
    <t>O046</t>
  </si>
  <si>
    <t>Ankit</t>
  </si>
  <si>
    <t>O047</t>
  </si>
  <si>
    <t>Kavya</t>
  </si>
  <si>
    <t>O048</t>
  </si>
  <si>
    <t>O049</t>
  </si>
  <si>
    <t>Meena</t>
  </si>
  <si>
    <t>O050</t>
  </si>
  <si>
    <t>Sandhya</t>
  </si>
  <si>
    <t>O051</t>
  </si>
  <si>
    <t>Suman</t>
  </si>
  <si>
    <t>O052</t>
  </si>
  <si>
    <t>O053</t>
  </si>
  <si>
    <t>Prashant</t>
  </si>
  <si>
    <t>O054</t>
  </si>
  <si>
    <t>O055</t>
  </si>
  <si>
    <t>Kumar</t>
  </si>
  <si>
    <t>O056</t>
  </si>
  <si>
    <t>Lakshmi</t>
  </si>
  <si>
    <t>O057</t>
  </si>
  <si>
    <t>O058</t>
  </si>
  <si>
    <t>O059</t>
  </si>
  <si>
    <t>O060</t>
  </si>
  <si>
    <t>Vikram</t>
  </si>
  <si>
    <t>O061</t>
  </si>
  <si>
    <t>O062</t>
  </si>
  <si>
    <t>O063</t>
  </si>
  <si>
    <t>Priyanka</t>
  </si>
  <si>
    <t>O064</t>
  </si>
  <si>
    <t>Gaurav</t>
  </si>
  <si>
    <t>O065</t>
  </si>
  <si>
    <t>Rekha</t>
  </si>
  <si>
    <t>O066</t>
  </si>
  <si>
    <t>O067</t>
  </si>
  <si>
    <t>Megha</t>
  </si>
  <si>
    <t>O068</t>
  </si>
  <si>
    <t>O069</t>
  </si>
  <si>
    <t xml:space="preserve">55000 </t>
  </si>
  <si>
    <t>O070</t>
  </si>
  <si>
    <t>O071</t>
  </si>
  <si>
    <t>Jagdish</t>
  </si>
  <si>
    <t>O072</t>
  </si>
  <si>
    <t>O073</t>
  </si>
  <si>
    <t>Bhavesh</t>
  </si>
  <si>
    <t>O074</t>
  </si>
  <si>
    <t>O075</t>
  </si>
  <si>
    <t>O076</t>
  </si>
  <si>
    <t>Kunal</t>
  </si>
  <si>
    <t>O077</t>
  </si>
  <si>
    <t>NEHA SHARMA</t>
  </si>
  <si>
    <t>O078</t>
  </si>
  <si>
    <t xml:space="preserve">19-Feb-2025  </t>
  </si>
  <si>
    <t>Shweta</t>
  </si>
  <si>
    <t>O079</t>
  </si>
  <si>
    <t>O080</t>
  </si>
  <si>
    <t>Aditi</t>
  </si>
  <si>
    <t>O082</t>
  </si>
  <si>
    <t>O083</t>
  </si>
  <si>
    <t>Pooja</t>
  </si>
  <si>
    <t>O084</t>
  </si>
  <si>
    <t>Shiv</t>
  </si>
  <si>
    <t>O085</t>
  </si>
  <si>
    <t>Ananya</t>
  </si>
  <si>
    <t>O086</t>
  </si>
  <si>
    <t>O087</t>
  </si>
  <si>
    <t>Pranav</t>
  </si>
  <si>
    <t>O088</t>
  </si>
  <si>
    <t>Deepak</t>
  </si>
  <si>
    <t>O089</t>
  </si>
  <si>
    <t>O090</t>
  </si>
  <si>
    <t>Ragini</t>
  </si>
  <si>
    <t>O091</t>
  </si>
  <si>
    <t>O092</t>
  </si>
  <si>
    <t>O093</t>
  </si>
  <si>
    <t>Sunaina</t>
  </si>
  <si>
    <t>O094</t>
  </si>
  <si>
    <t>Santhosh</t>
  </si>
  <si>
    <t>O095</t>
  </si>
  <si>
    <t>O096</t>
  </si>
  <si>
    <t>O097</t>
  </si>
  <si>
    <t>Ashok</t>
  </si>
  <si>
    <t>O098</t>
  </si>
  <si>
    <t>O099</t>
  </si>
  <si>
    <t>Bhavya</t>
  </si>
  <si>
    <t>O100</t>
  </si>
  <si>
    <t>Vinod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</si>
  <si>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</si>
  <si>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</si>
  <si>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</si>
  <si>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</si>
  <si>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</si>
  <si>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</si>
  <si>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</si>
  <si>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</si>
  <si>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</si>
  <si>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</si>
  <si>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</si>
  <si>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Tejaswini</t>
  </si>
  <si>
    <t>O112</t>
  </si>
  <si>
    <t>O113</t>
  </si>
  <si>
    <t>O114</t>
  </si>
  <si>
    <t>O115</t>
  </si>
  <si>
    <t>Pradeep</t>
  </si>
  <si>
    <t>O116</t>
  </si>
  <si>
    <t>O117</t>
  </si>
  <si>
    <t xml:space="preserve">21-Apr-2025 </t>
  </si>
  <si>
    <t>O118</t>
  </si>
  <si>
    <t>O119</t>
  </si>
  <si>
    <t>O120</t>
  </si>
  <si>
    <t>O121</t>
  </si>
  <si>
    <t>O122</t>
  </si>
  <si>
    <t xml:space="preserve">22-Feb-2025 </t>
  </si>
  <si>
    <t>NoteDate</t>
  </si>
  <si>
    <t>O123</t>
  </si>
  <si>
    <t>O124</t>
  </si>
  <si>
    <t>O125</t>
  </si>
  <si>
    <t>Questions</t>
  </si>
  <si>
    <t>Answers</t>
  </si>
  <si>
    <t>List 3 issues (anomalies) you found in the dataset and explain how it affects the analysis</t>
  </si>
  <si>
    <t>1. Discount % column has mixed Format :-numeric Value,Percentage(8%),Unit price has enteries like 18000,₹18000(order no.0115),  2.Missing and Inconsistent Data(salesperson name missing,and salesperson name inconsistent Capitalization),  3.Duplicate and repeated order ID's(0080,0100).</t>
  </si>
  <si>
    <r>
      <rPr>
        <sz val="10"/>
        <color theme="1"/>
        <rFont val="Cambria"/>
      </rPr>
      <t>Fill the “</t>
    </r>
    <r>
      <rPr>
        <b/>
        <sz val="10"/>
        <color theme="1"/>
        <rFont val="Cambria"/>
      </rPr>
      <t>Net Revenue</t>
    </r>
    <r>
      <rPr>
        <sz val="10"/>
        <color theme="1"/>
        <rFont val="Cambria"/>
      </rPr>
      <t>” and “</t>
    </r>
    <r>
      <rPr>
        <b/>
        <sz val="10"/>
        <color theme="1"/>
        <rFont val="Cambria"/>
      </rPr>
      <t>Revenue</t>
    </r>
    <r>
      <rPr>
        <sz val="10"/>
        <color theme="1"/>
        <rFont val="Cambria"/>
      </rPr>
      <t xml:space="preserve">” columns in the Orders sheet using formulas.
For orders where </t>
    </r>
    <r>
      <rPr>
        <b/>
        <sz val="10"/>
        <color theme="1"/>
        <rFont val="Cambria"/>
      </rPr>
      <t>Payment Status = Paid</t>
    </r>
    <r>
      <rPr>
        <sz val="10"/>
        <color theme="1"/>
        <rFont val="Cambria"/>
      </rPr>
      <t xml:space="preserve">:
- </t>
    </r>
    <r>
      <rPr>
        <b/>
        <sz val="10"/>
        <color theme="1"/>
        <rFont val="Cambria"/>
      </rPr>
      <t>Net Revenue</t>
    </r>
    <r>
      <rPr>
        <sz val="10"/>
        <color theme="1"/>
        <rFont val="Cambria"/>
      </rPr>
      <t xml:space="preserve"> = Quantity × Unit Price × (1 − Discount%)
- </t>
    </r>
    <r>
      <rPr>
        <b/>
        <sz val="10"/>
        <color theme="1"/>
        <rFont val="Cambria"/>
      </rPr>
      <t xml:space="preserve">Revenue </t>
    </r>
    <r>
      <rPr>
        <sz val="10"/>
        <color theme="1"/>
        <rFont val="Cambria"/>
      </rPr>
      <t>= Quantity × Unit Price</t>
    </r>
  </si>
  <si>
    <t>Which is mentioned in Order Tables Calculations.</t>
  </si>
  <si>
    <r>
      <rPr>
        <sz val="10"/>
        <color rgb="FF000000"/>
        <rFont val="Cambria"/>
      </rPr>
      <t xml:space="preserve">Create a pivot table showing Net Revenue for each Region. </t>
    </r>
    <r>
      <rPr>
        <sz val="10"/>
        <color rgb="FF000000"/>
        <rFont val="Cambria"/>
      </rPr>
      <t>Mention the Region with highest Net Revenue</t>
    </r>
  </si>
  <si>
    <t>West Region Has Highest Net Revenue .(1477815)</t>
  </si>
  <si>
    <r>
      <rPr>
        <sz val="10"/>
        <color rgb="FF000000"/>
        <rFont val="Cambria"/>
      </rPr>
      <t xml:space="preserve">Calculate the Total Revenue </t>
    </r>
    <r>
      <rPr>
        <i/>
        <sz val="10"/>
        <color rgb="FF000000"/>
        <rFont val="Cambria"/>
      </rPr>
      <t>(Answer using formula)</t>
    </r>
  </si>
  <si>
    <r>
      <rPr>
        <sz val="10"/>
        <color rgb="FF000000"/>
        <rFont val="Cambria"/>
      </rPr>
      <t xml:space="preserve">What percentage of total orders are Unpaid or Pending? </t>
    </r>
    <r>
      <rPr>
        <i/>
        <sz val="10"/>
        <color rgb="FF000000"/>
        <rFont val="Cambria"/>
      </rPr>
      <t>(Answer using formula)</t>
    </r>
  </si>
  <si>
    <r>
      <rPr>
        <sz val="10"/>
        <color rgb="FF000000"/>
        <rFont val="Cambria"/>
      </rPr>
      <t>1. Fill the “</t>
    </r>
    <r>
      <rPr>
        <b/>
        <sz val="10"/>
        <color rgb="FF000000"/>
        <rFont val="Cambria"/>
      </rPr>
      <t>Month</t>
    </r>
    <r>
      <rPr>
        <sz val="10"/>
        <color rgb="FF000000"/>
        <rFont val="Cambria"/>
      </rPr>
      <t>” column in the Orders subsheet by extracting the month from the</t>
    </r>
    <r>
      <rPr>
        <b/>
        <sz val="10"/>
        <color rgb="FF000000"/>
        <rFont val="Cambria"/>
      </rPr>
      <t xml:space="preserve"> Order Date</t>
    </r>
    <r>
      <rPr>
        <sz val="10"/>
        <color rgb="FF000000"/>
        <rFont val="Cambria"/>
      </rPr>
      <t xml:space="preserve"> using a formula.
2. Insert a new subsheet with name "</t>
    </r>
    <r>
      <rPr>
        <b/>
        <sz val="10"/>
        <color rgb="FF000000"/>
        <rFont val="Cambria"/>
      </rPr>
      <t>Products sold</t>
    </r>
    <r>
      <rPr>
        <sz val="10"/>
        <color rgb="FF000000"/>
        <rFont val="Cambria"/>
      </rPr>
      <t xml:space="preserve">" &amp; build a summary table that shows the </t>
    </r>
    <r>
      <rPr>
        <b/>
        <sz val="10"/>
        <color rgb="FF000000"/>
        <rFont val="Cambria"/>
      </rPr>
      <t xml:space="preserve">total quantity sold for each product, month-wise. </t>
    </r>
    <r>
      <rPr>
        <i/>
        <sz val="10"/>
        <color rgb="FF000000"/>
        <rFont val="Cambria"/>
      </rPr>
      <t>(Answer using formula, Rearrange columns if required)</t>
    </r>
    <r>
      <rPr>
        <sz val="10"/>
        <color rgb="FF000000"/>
        <rFont val="Cambria"/>
      </rPr>
      <t xml:space="preserve">
3. Mention which </t>
    </r>
    <r>
      <rPr>
        <b/>
        <sz val="10"/>
        <color rgb="FF000000"/>
        <rFont val="Cambria"/>
      </rPr>
      <t xml:space="preserve">month </t>
    </r>
    <r>
      <rPr>
        <sz val="10"/>
        <color rgb="FF000000"/>
        <rFont val="Cambria"/>
      </rPr>
      <t xml:space="preserve">and which </t>
    </r>
    <r>
      <rPr>
        <b/>
        <sz val="10"/>
        <color rgb="FF000000"/>
        <rFont val="Cambria"/>
      </rPr>
      <t xml:space="preserve">product </t>
    </r>
    <r>
      <rPr>
        <sz val="10"/>
        <color rgb="FF000000"/>
        <rFont val="Cambria"/>
      </rPr>
      <t xml:space="preserve">recorded the </t>
    </r>
    <r>
      <rPr>
        <b/>
        <sz val="10"/>
        <color rgb="FF000000"/>
        <rFont val="Cambria"/>
      </rPr>
      <t xml:space="preserve">highest total quantity sold </t>
    </r>
    <r>
      <rPr>
        <sz val="10"/>
        <color rgb="FF000000"/>
        <rFont val="Cambria"/>
      </rPr>
      <t>based on the summary.</t>
    </r>
  </si>
  <si>
    <t>Determine whether higher discounts lead to higher revenue? Explain your conclusion using supporting numbers or statistics from the data.</t>
  </si>
  <si>
    <t>Discount 0–5%:- Total Net Revenue gradually increases with discount up to 5%. Example: At 5% discount, the Grand Total Net Revenue is 1,436,875, which is the highest in the dataset.</t>
  </si>
  <si>
    <t>Discount 6–8%:- Total Net Revenue slightly decreases at 6–8% discounts (1,355,480 at 6% and 1,016,490 at 7%, 676,200 at 8%). This shows that higher discounts do not always result in higher revenue.</t>
  </si>
  <si>
    <t>Product impact:- Laptops and Mobiles generate the highest revenue regardless of discount %, because these are high-value items.</t>
  </si>
  <si>
    <t>Products with lower unit prices (Desks, Office Chairs, Printers) contribute much less to total revenue even at higher discounts.</t>
  </si>
  <si>
    <t>Conclusion:-</t>
  </si>
  <si>
    <t>Giving higher discounts does not automatically lead to higher revenue.</t>
  </si>
  <si>
    <t>The highest revenue comes from moderate discounts around 5%, especially on high-value products like Laptops and Mobiles.</t>
  </si>
  <si>
    <t>Very high discounts (6–8%) actually reduce total revenue, because these discounts may be on lower-priced products or smaller sales volumes.</t>
  </si>
  <si>
    <t>Revenue depends more on product price and quantity sold, with discount being a secondary factor.</t>
  </si>
  <si>
    <t>Net Revenue By Region</t>
  </si>
  <si>
    <t>SUM of Net Revenue</t>
  </si>
  <si>
    <t>Grand Total</t>
  </si>
  <si>
    <t>Total of Product wise</t>
  </si>
  <si>
    <t>Total of Month Wise</t>
  </si>
  <si>
    <t>I have changed old discount % to Raw Discount and Create new Discount column with Prform Some calculation.</t>
  </si>
  <si>
    <t>I have Change old Salesperson Name to Raw Name because it was error and Create new column which is Salesperson</t>
  </si>
  <si>
    <t>Delete 2 rows which is duplicate in order id.</t>
  </si>
  <si>
    <t>Summary Table</t>
  </si>
  <si>
    <r>
      <t xml:space="preserve">The product Mobile recorded the highest total quantity sold </t>
    </r>
    <r>
      <rPr>
        <b/>
        <sz val="10"/>
        <color theme="1"/>
        <rFont val="Arial"/>
        <family val="2"/>
        <scheme val="minor"/>
      </rPr>
      <t>(145 units</t>
    </r>
    <r>
      <rPr>
        <sz val="10"/>
        <color theme="1"/>
        <rFont val="Arial"/>
        <scheme val="minor"/>
      </rPr>
      <t xml:space="preserve">) across all months. The highest quantity in a single month was also for Mobile in March 2025, with </t>
    </r>
    <r>
      <rPr>
        <b/>
        <sz val="10"/>
        <color theme="1"/>
        <rFont val="Arial"/>
        <family val="2"/>
        <scheme val="minor"/>
      </rPr>
      <t>58</t>
    </r>
    <r>
      <rPr>
        <sz val="10"/>
        <color theme="1"/>
        <rFont val="Arial"/>
        <scheme val="minor"/>
      </rPr>
      <t xml:space="preserve"> units sold.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</si>
</sst>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yy"/>
    <numFmt numFmtId="165" formatCode="yyyy\-mm\-dd"/>
    <numFmt numFmtId="166" formatCode="dd\-mmm\-yyyy"/>
    <numFmt numFmtId="167" formatCode="m/d/yyyy"/>
    <numFmt numFmtId="168" formatCode="&quot;$&quot;#,##0.00"/>
    <numFmt numFmtId="169" formatCode="mmm\ yyyy"/>
  </numFmts>
  <fonts count="16" x14ac:knownFonts="1">
    <font>
      <sz val="10"/>
      <color rgb="FF000000"/>
      <name val="Arial"/>
      <scheme val="minor"/>
    </font>
    <font>
      <b/>
      <sz val="10"/>
      <color theme="1"/>
      <name val="Cambria"/>
    </font>
    <font>
      <sz val="10"/>
      <color theme="1"/>
      <name val="Cambria"/>
    </font>
    <font>
      <sz val="10"/>
      <color rgb="FF000000"/>
      <name val="Cambria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i/>
      <sz val="10"/>
      <color rgb="FF000000"/>
      <name val="Cambria"/>
    </font>
    <font>
      <b/>
      <sz val="10"/>
      <color rgb="FF000000"/>
      <name val="Cambria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168" fontId="2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0" fontId="2" fillId="0" borderId="0" xfId="0" applyNumberFormat="1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9" fontId="8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1" xfId="0" applyNumberFormat="1" applyBorder="1"/>
    <xf numFmtId="165" fontId="0" fillId="0" borderId="9" xfId="0" applyNumberFormat="1" applyBorder="1"/>
    <xf numFmtId="165" fontId="0" fillId="0" borderId="2" xfId="0" applyNumberFormat="1" applyBorder="1"/>
    <xf numFmtId="10" fontId="0" fillId="0" borderId="1" xfId="0" applyNumberFormat="1" applyBorder="1"/>
    <xf numFmtId="0" fontId="0" fillId="0" borderId="1" xfId="0" applyNumberFormat="1" applyBorder="1"/>
    <xf numFmtId="0" fontId="0" fillId="0" borderId="9" xfId="0" applyNumberFormat="1" applyBorder="1"/>
    <xf numFmtId="10" fontId="0" fillId="0" borderId="3" xfId="0" applyNumberFormat="1" applyBorder="1"/>
    <xf numFmtId="0" fontId="0" fillId="0" borderId="3" xfId="0" applyNumberFormat="1" applyBorder="1"/>
    <xf numFmtId="0" fontId="0" fillId="0" borderId="0" xfId="0" applyNumberFormat="1"/>
    <xf numFmtId="10" fontId="0" fillId="0" borderId="5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4" borderId="4" xfId="0" applyNumberFormat="1" applyFill="1" applyBorder="1"/>
    <xf numFmtId="0" fontId="11" fillId="0" borderId="0" xfId="0" applyFont="1"/>
    <xf numFmtId="0" fontId="12" fillId="0" borderId="0" xfId="0" applyFont="1"/>
    <xf numFmtId="0" fontId="11" fillId="4" borderId="0" xfId="0" applyFont="1" applyFill="1"/>
    <xf numFmtId="0" fontId="15" fillId="0" borderId="0" xfId="0" applyFont="1"/>
    <xf numFmtId="0" fontId="13" fillId="0" borderId="0" xfId="0" applyFo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KSHI MISHRA" refreshedDate="46009.981487962963" refreshedVersion="8" recordCount="124" xr:uid="{00000000-000A-0000-FFFF-FFFF00000000}">
  <cacheSource type="worksheet">
    <worksheetSource ref="A1:O125" sheet="orders"/>
  </cacheSource>
  <cacheFields count="15">
    <cacheField name="Order ID" numFmtId="0">
      <sharedItems/>
    </cacheField>
    <cacheField name="Order Date" numFmtId="0">
      <sharedItems containsDate="1" containsMixedTypes="1" minDate="2025-01-04T00:00:00" maxDate="2025-04-30T00:00:00"/>
    </cacheField>
    <cacheField name="Customer Name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Raw Name" numFmtId="0">
      <sharedItems/>
    </cacheField>
    <cacheField name="Salesperson Name" numFmtId="0">
      <sharedItems/>
    </cacheField>
    <cacheField name="Product" numFmtId="0">
      <sharedItems count="5">
        <s v="Printer"/>
        <s v="Office Chair"/>
        <s v="Mobile"/>
        <s v="Laptop"/>
        <s v="Desk"/>
      </sharedItems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MixedTypes="1" containsNumber="1" containsInteger="1" minValue="7500" maxValue="55000"/>
    </cacheField>
    <cacheField name="Raw Discount %" numFmtId="0">
      <sharedItems containsSemiMixedTypes="0" containsString="0" containsNumber="1" minValue="0" maxValue="8"/>
    </cacheField>
    <cacheField name="Discount%" numFmtId="10">
      <sharedItems containsSemiMixedTypes="0" containsString="0" containsNumber="1" minValue="0" maxValue="1" count="9">
        <n v="0.05"/>
        <n v="0.06"/>
        <n v="0.08"/>
        <n v="7.0000000000000007E-2"/>
        <n v="0.03"/>
        <n v="0.04"/>
        <n v="0"/>
        <n v="1"/>
        <n v="0.02"/>
      </sharedItems>
    </cacheField>
    <cacheField name="Payment Status" numFmtId="0">
      <sharedItems count="3">
        <s v="Paid"/>
        <s v="Pending"/>
        <s v="Unpaid"/>
      </sharedItems>
    </cacheField>
    <cacheField name="Net Revenue" numFmtId="0">
      <sharedItems containsSemiMixedTypes="0" containsString="0" containsNumber="1" minValue="0" maxValue="255749.99999999997"/>
    </cacheField>
    <cacheField name="Revenue" numFmtId="0">
      <sharedItems containsSemiMixedTypes="0" containsString="0" containsNumber="1" containsInteger="1" minValue="0" maxValue="3850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O001"/>
    <d v="2025-04-23T00:00:00"/>
    <s v="Megha S"/>
    <x v="0"/>
    <s v="Neha Sharma"/>
    <s v="Neha Sharma"/>
    <x v="0"/>
    <n v="2"/>
    <n v="12000"/>
    <n v="5"/>
    <x v="0"/>
    <x v="0"/>
    <n v="22800"/>
    <n v="24000"/>
    <s v="Apr,2025"/>
  </r>
  <r>
    <s v="O002"/>
    <d v="2025-04-28T00:00:00"/>
    <s v="Naveen"/>
    <x v="0"/>
    <s v="RIYA GUPTA"/>
    <s v="Riya Gupta"/>
    <x v="1"/>
    <n v="2"/>
    <n v="7500"/>
    <n v="6"/>
    <x v="1"/>
    <x v="0"/>
    <n v="14100"/>
    <n v="15000"/>
    <s v="Apr,2025"/>
  </r>
  <r>
    <s v="O003"/>
    <d v="2025-03-07T00:00:00"/>
    <s v="Sahil"/>
    <x v="1"/>
    <s v="srikanth verma"/>
    <s v="Srikanth Verma"/>
    <x v="2"/>
    <n v="6"/>
    <n v="18000"/>
    <n v="8"/>
    <x v="2"/>
    <x v="1"/>
    <n v="0"/>
    <n v="0"/>
    <s v="Mar,2025"/>
  </r>
  <r>
    <s v="O004"/>
    <d v="2025-02-14T00:00:00"/>
    <s v="Maya"/>
    <x v="2"/>
    <s v="Neha Sharma"/>
    <s v="Neha Sharma"/>
    <x v="2"/>
    <n v="6"/>
    <n v="18000"/>
    <n v="8"/>
    <x v="2"/>
    <x v="1"/>
    <n v="0"/>
    <n v="0"/>
    <s v="Feb,2025"/>
  </r>
  <r>
    <s v="O005"/>
    <d v="2025-02-20T00:00:00"/>
    <s v="Ramesh K"/>
    <x v="1"/>
    <s v="srikanth verma"/>
    <s v="Srikanth Verma"/>
    <x v="3"/>
    <n v="1"/>
    <n v="55000"/>
    <n v="0.08"/>
    <x v="2"/>
    <x v="1"/>
    <n v="0"/>
    <n v="0"/>
    <s v="Feb,2025"/>
  </r>
  <r>
    <s v="O006"/>
    <d v="2025-03-03T00:00:00"/>
    <s v="Arjun Reddy"/>
    <x v="3"/>
    <s v="Anita Joseph"/>
    <s v="Anita Joseph"/>
    <x v="3"/>
    <n v="2"/>
    <n v="55000"/>
    <n v="6"/>
    <x v="1"/>
    <x v="0"/>
    <n v="103400"/>
    <n v="110000"/>
    <s v="Mar,2025"/>
  </r>
  <r>
    <s v="O007"/>
    <d v="2025-04-11T00:00:00"/>
    <s v="Priya"/>
    <x v="2"/>
    <s v="RAHUL NAIR"/>
    <s v="Rahul Nair"/>
    <x v="0"/>
    <n v="3"/>
    <n v="12000"/>
    <n v="5"/>
    <x v="0"/>
    <x v="0"/>
    <n v="34200"/>
    <n v="36000"/>
    <s v="Apr,2025"/>
  </r>
  <r>
    <s v="O008"/>
    <d v="2025-03-19T00:00:00"/>
    <s v="Deepa Menon"/>
    <x v="0"/>
    <s v="Neha Sharma"/>
    <s v="Neha Sharma"/>
    <x v="2"/>
    <n v="4"/>
    <n v="18000"/>
    <n v="7"/>
    <x v="3"/>
    <x v="0"/>
    <n v="66960"/>
    <n v="72000"/>
    <s v="Mar,2025"/>
  </r>
  <r>
    <s v="O009"/>
    <d v="2025-02-25T00:00:00"/>
    <s v="Manju S"/>
    <x v="3"/>
    <s v="Neha Sharma"/>
    <s v="Neha Sharma"/>
    <x v="3"/>
    <n v="3"/>
    <n v="55000"/>
    <n v="5"/>
    <x v="0"/>
    <x v="2"/>
    <n v="0"/>
    <n v="0"/>
    <s v="Feb,2025"/>
  </r>
  <r>
    <s v="O010"/>
    <d v="2025-02-07T00:00:00"/>
    <s v="Anita Joseph"/>
    <x v="0"/>
    <s v="Anita Joseph"/>
    <s v="Anita Joseph"/>
    <x v="1"/>
    <n v="2"/>
    <n v="7500"/>
    <n v="8"/>
    <x v="2"/>
    <x v="0"/>
    <n v="13800"/>
    <n v="15000"/>
    <s v="Feb,2025"/>
  </r>
  <r>
    <s v="O011"/>
    <d v="2025-04-03T00:00:00"/>
    <s v="Kamal"/>
    <x v="1"/>
    <s v="Neha Sharma"/>
    <s v="Neha Sharma"/>
    <x v="4"/>
    <n v="1"/>
    <n v="9500"/>
    <n v="3"/>
    <x v="4"/>
    <x v="0"/>
    <n v="9215"/>
    <n v="9500"/>
    <s v="Apr,2025"/>
  </r>
  <r>
    <s v="O012"/>
    <d v="2025-02-17T00:00:00"/>
    <s v="Sunil"/>
    <x v="2"/>
    <s v="RAHUL NAIR"/>
    <s v="Rahul Nair"/>
    <x v="0"/>
    <n v="1"/>
    <n v="12000"/>
    <n v="4"/>
    <x v="5"/>
    <x v="0"/>
    <n v="11520"/>
    <n v="12000"/>
    <s v="Feb,2025"/>
  </r>
  <r>
    <s v="O013"/>
    <d v="2025-03-02T00:00:00"/>
    <s v="Aditya"/>
    <x v="3"/>
    <s v="Neha Sharma"/>
    <s v="Neha Sharma"/>
    <x v="2"/>
    <n v="6"/>
    <n v="18000"/>
    <n v="8"/>
    <x v="2"/>
    <x v="0"/>
    <n v="99360"/>
    <n v="108000"/>
    <s v="Mar,2025"/>
  </r>
  <r>
    <s v="O014"/>
    <d v="2025-04-13T00:00:00"/>
    <s v="Priya"/>
    <x v="2"/>
    <s v="Neha Sharma"/>
    <s v="Neha Sharma"/>
    <x v="2"/>
    <n v="5"/>
    <n v="18000"/>
    <n v="0"/>
    <x v="6"/>
    <x v="0"/>
    <n v="90000"/>
    <n v="90000"/>
    <s v="Apr,2025"/>
  </r>
  <r>
    <s v="O015"/>
    <d v="2025-03-08T00:00:00"/>
    <s v="Suresh"/>
    <x v="0"/>
    <s v="RAHUL NAIR"/>
    <s v="Rahul Nair"/>
    <x v="3"/>
    <n v="1"/>
    <n v="55000"/>
    <n v="7"/>
    <x v="3"/>
    <x v="0"/>
    <n v="51150"/>
    <n v="55000"/>
    <s v="Mar,2025"/>
  </r>
  <r>
    <s v="O016"/>
    <d v="2025-02-21T00:00:00"/>
    <s v="Ritu"/>
    <x v="1"/>
    <s v="RIYA GUPTA"/>
    <s v="Riya Gupta"/>
    <x v="1"/>
    <n v="3"/>
    <n v="7500"/>
    <n v="5"/>
    <x v="0"/>
    <x v="0"/>
    <n v="21375"/>
    <n v="22500"/>
    <s v="Feb,2025"/>
  </r>
  <r>
    <s v="O017"/>
    <d v="2025-03-29T00:00:00"/>
    <s v="Kishore"/>
    <x v="3"/>
    <s v="srikanth verma"/>
    <s v="Srikanth Verma"/>
    <x v="4"/>
    <n v="2"/>
    <n v="9500"/>
    <n v="6"/>
    <x v="1"/>
    <x v="0"/>
    <n v="17860"/>
    <n v="19000"/>
    <s v="Mar,2025"/>
  </r>
  <r>
    <s v="O018"/>
    <d v="2025-04-02T00:00:00"/>
    <s v="Arun Kumar"/>
    <x v="2"/>
    <s v="Neha Sharma"/>
    <s v="Neha Sharma"/>
    <x v="3"/>
    <n v="7"/>
    <n v="55000"/>
    <n v="1"/>
    <x v="7"/>
    <x v="2"/>
    <n v="0"/>
    <n v="0"/>
    <s v="Apr,2025"/>
  </r>
  <r>
    <s v="O019"/>
    <d v="2025-03-05T00:00:00"/>
    <s v="Tanvi"/>
    <x v="0"/>
    <s v="Anita Joseph"/>
    <s v="Anita Joseph"/>
    <x v="0"/>
    <n v="2"/>
    <n v="12000"/>
    <n v="5"/>
    <x v="0"/>
    <x v="0"/>
    <n v="22800"/>
    <n v="24000"/>
    <s v="Mar,2025"/>
  </r>
  <r>
    <s v="O020"/>
    <d v="2025-04-12T00:00:00"/>
    <s v="Gita"/>
    <x v="1"/>
    <s v="RAHUL NAIR"/>
    <s v="Rahul Nair"/>
    <x v="2"/>
    <n v="4"/>
    <n v="18000"/>
    <n v="8"/>
    <x v="2"/>
    <x v="0"/>
    <n v="66240"/>
    <n v="72000"/>
    <s v="Apr,2025"/>
  </r>
  <r>
    <s v="O021"/>
    <d v="2025-02-24T00:00:00"/>
    <s v="Neetu"/>
    <x v="0"/>
    <s v="Neha Sharma"/>
    <s v="Neha Sharma"/>
    <x v="4"/>
    <n v="3"/>
    <n v="9500"/>
    <n v="6"/>
    <x v="1"/>
    <x v="0"/>
    <n v="26790"/>
    <n v="28500"/>
    <s v="Feb,2025"/>
  </r>
  <r>
    <s v="O022"/>
    <d v="2025-03-09T00:00:00"/>
    <s v="Rohit"/>
    <x v="2"/>
    <s v="RIYA GUPTA"/>
    <s v="Riya Gupta"/>
    <x v="1"/>
    <n v="4"/>
    <n v="7500"/>
    <n v="4"/>
    <x v="5"/>
    <x v="1"/>
    <n v="0"/>
    <n v="0"/>
    <s v="Mar,2025"/>
  </r>
  <r>
    <s v="O023"/>
    <d v="2025-04-15T00:00:00"/>
    <s v="Kiran"/>
    <x v="3"/>
    <s v="Neha Sharma"/>
    <s v="Neha Sharma"/>
    <x v="0"/>
    <n v="2"/>
    <n v="12000"/>
    <n v="5"/>
    <x v="0"/>
    <x v="0"/>
    <n v="22800"/>
    <n v="24000"/>
    <s v="Apr,2025"/>
  </r>
  <r>
    <s v="O024"/>
    <d v="2025-02-18T00:00:00"/>
    <s v="Dinesh"/>
    <x v="0"/>
    <s v="Anita Joseph"/>
    <s v="Anita Joseph"/>
    <x v="2"/>
    <n v="3"/>
    <n v="18000"/>
    <n v="6"/>
    <x v="1"/>
    <x v="0"/>
    <n v="50760"/>
    <n v="54000"/>
    <s v="Feb,2025"/>
  </r>
  <r>
    <s v="O025"/>
    <d v="2025-04-20T00:00:00"/>
    <s v="Sakshi"/>
    <x v="1"/>
    <s v="RAHUL NAIR"/>
    <s v="Rahul Nair"/>
    <x v="4"/>
    <n v="5"/>
    <n v="9500"/>
    <n v="2"/>
    <x v="8"/>
    <x v="2"/>
    <n v="0"/>
    <n v="0"/>
    <s v="Apr,2025"/>
  </r>
  <r>
    <s v="O026"/>
    <d v="2025-03-01T00:00:00"/>
    <s v="Vagdevi"/>
    <x v="2"/>
    <s v="Neha Sharma"/>
    <s v="Neha Sharma"/>
    <x v="3"/>
    <n v="1"/>
    <n v="55000"/>
    <n v="5"/>
    <x v="0"/>
    <x v="0"/>
    <n v="52250"/>
    <n v="55000"/>
    <s v="Mar,2025"/>
  </r>
  <r>
    <s v="O027"/>
    <d v="2025-02-11T00:00:00"/>
    <s v="Mahesh"/>
    <x v="3"/>
    <s v="srikanth verma"/>
    <s v="Srikanth Verma"/>
    <x v="4"/>
    <n v="2"/>
    <n v="9500"/>
    <n v="6"/>
    <x v="1"/>
    <x v="0"/>
    <n v="17860"/>
    <n v="19000"/>
    <s v="Feb,2025"/>
  </r>
  <r>
    <s v="O028"/>
    <d v="2025-04-04T00:00:00"/>
    <s v="Shalini S"/>
    <x v="0"/>
    <s v="Anita Joseph"/>
    <s v="Anita Joseph"/>
    <x v="0"/>
    <n v="3"/>
    <n v="12000"/>
    <n v="5"/>
    <x v="0"/>
    <x v="0"/>
    <n v="34200"/>
    <n v="36000"/>
    <s v="Apr,2025"/>
  </r>
  <r>
    <s v="O029"/>
    <d v="2025-03-14T00:00:00"/>
    <s v="Neha"/>
    <x v="1"/>
    <s v="RAHUL NAIR"/>
    <s v="Rahul Nair"/>
    <x v="2"/>
    <n v="7"/>
    <n v="18000"/>
    <n v="4"/>
    <x v="5"/>
    <x v="0"/>
    <n v="120960"/>
    <n v="126000"/>
    <s v="Mar,2025"/>
  </r>
  <r>
    <s v="O030"/>
    <d v="2025-02-27T00:00:00"/>
    <s v="Bhavana"/>
    <x v="2"/>
    <s v="Neha Sharma"/>
    <s v="Neha Sharma"/>
    <x v="1"/>
    <n v="2"/>
    <n v="7500"/>
    <n v="6"/>
    <x v="1"/>
    <x v="0"/>
    <n v="14100"/>
    <n v="15000"/>
    <s v="Feb,2025"/>
  </r>
  <r>
    <s v="O031"/>
    <d v="2025-03-30T00:00:00"/>
    <s v="Ramesh"/>
    <x v="0"/>
    <s v="RAHUL NAIR"/>
    <s v="Rahul Nair"/>
    <x v="3"/>
    <n v="2"/>
    <n v="55000"/>
    <n v="6"/>
    <x v="1"/>
    <x v="0"/>
    <n v="103400"/>
    <n v="110000"/>
    <s v="Mar,2025"/>
  </r>
  <r>
    <s v="O032"/>
    <d v="2025-02-06T00:00:00"/>
    <s v="Arun K"/>
    <x v="3"/>
    <s v="RIYA GUPTA"/>
    <s v="Riya Gupta"/>
    <x v="0"/>
    <n v="1"/>
    <n v="12000"/>
    <n v="3"/>
    <x v="4"/>
    <x v="0"/>
    <n v="11640"/>
    <n v="12000"/>
    <s v="Feb,2025"/>
  </r>
  <r>
    <s v="O033"/>
    <d v="2025-03-22T00:00:00"/>
    <s v="Sameer"/>
    <x v="2"/>
    <s v="Neha Sharma"/>
    <s v="Neha Sharma"/>
    <x v="2"/>
    <n v="3"/>
    <n v="18000"/>
    <n v="5"/>
    <x v="0"/>
    <x v="0"/>
    <n v="51300"/>
    <n v="54000"/>
    <s v="Mar,2025"/>
  </r>
  <r>
    <s v="O034"/>
    <d v="2025-04-10T00:00:00"/>
    <s v="Asha"/>
    <x v="0"/>
    <s v="Anita Joseph"/>
    <s v="Anita Joseph"/>
    <x v="4"/>
    <n v="4"/>
    <n v="9500"/>
    <n v="7"/>
    <x v="3"/>
    <x v="1"/>
    <n v="0"/>
    <n v="0"/>
    <s v="Apr,2025"/>
  </r>
  <r>
    <s v="O035"/>
    <d v="2025-03-16T00:00:00"/>
    <s v="Veena Varma"/>
    <x v="1"/>
    <s v="Neha Sharma"/>
    <s v="Neha Sharma"/>
    <x v="0"/>
    <n v="2"/>
    <n v="12000"/>
    <n v="6"/>
    <x v="1"/>
    <x v="0"/>
    <n v="22560"/>
    <n v="24000"/>
    <s v="Mar,2025"/>
  </r>
  <r>
    <s v="O036"/>
    <d v="2025-04-05T00:00:00"/>
    <s v="Sunita"/>
    <x v="3"/>
    <s v="RAHUL NAIR"/>
    <s v="Rahul Nair"/>
    <x v="2"/>
    <n v="3"/>
    <n v="18000"/>
    <n v="5"/>
    <x v="0"/>
    <x v="0"/>
    <n v="51300"/>
    <n v="54000"/>
    <s v="Apr,2025"/>
  </r>
  <r>
    <s v="O037"/>
    <d v="2025-02-26T00:00:00"/>
    <s v="Prakash"/>
    <x v="0"/>
    <s v="Neha Sharma"/>
    <s v="Neha Sharma"/>
    <x v="3"/>
    <n v="2"/>
    <n v="55000"/>
    <n v="7"/>
    <x v="3"/>
    <x v="0"/>
    <n v="102300"/>
    <n v="110000"/>
    <s v="Feb,2025"/>
  </r>
  <r>
    <s v="O038"/>
    <d v="2025-03-08T00:00:00"/>
    <s v="Kavita"/>
    <x v="2"/>
    <s v="Anita Joseph"/>
    <s v="Anita Joseph"/>
    <x v="1"/>
    <n v="1"/>
    <n v="7500"/>
    <n v="4"/>
    <x v="5"/>
    <x v="0"/>
    <n v="7200"/>
    <n v="7500"/>
    <s v="Mar,2025"/>
  </r>
  <r>
    <s v="O039"/>
    <d v="2025-02-17T00:00:00"/>
    <s v="Ram"/>
    <x v="1"/>
    <s v="RIYA GUPTA"/>
    <s v="Riya Gupta"/>
    <x v="4"/>
    <n v="2"/>
    <n v="9500"/>
    <n v="3"/>
    <x v="4"/>
    <x v="1"/>
    <n v="0"/>
    <n v="0"/>
    <s v="Feb,2025"/>
  </r>
  <r>
    <s v="O040"/>
    <d v="2025-04-01T00:00:00"/>
    <s v="Anil"/>
    <x v="0"/>
    <s v="Neha Sharma"/>
    <s v="Neha Sharma"/>
    <x v="2"/>
    <n v="4"/>
    <n v="18000"/>
    <n v="8"/>
    <x v="2"/>
    <x v="0"/>
    <n v="66240"/>
    <n v="72000"/>
    <s v="Apr,2025"/>
  </r>
  <r>
    <s v="O041"/>
    <d v="2025-02-11T00:00:00"/>
    <s v="Maya"/>
    <x v="2"/>
    <s v="RAHUL NAIR"/>
    <s v="Rahul Nair"/>
    <x v="0"/>
    <n v="3"/>
    <n v="12000"/>
    <n v="5"/>
    <x v="0"/>
    <x v="0"/>
    <n v="34200"/>
    <n v="36000"/>
    <s v="Feb,2025"/>
  </r>
  <r>
    <s v="O042"/>
    <d v="2025-03-03T00:00:00"/>
    <s v="Jaya"/>
    <x v="3"/>
    <s v="Neha Sharma"/>
    <s v="Neha Sharma"/>
    <x v="2"/>
    <n v="5"/>
    <n v="18000"/>
    <n v="6"/>
    <x v="1"/>
    <x v="2"/>
    <n v="0"/>
    <n v="0"/>
    <s v="Mar,2025"/>
  </r>
  <r>
    <s v="O043"/>
    <d v="2025-03-29T00:00:00"/>
    <s v="Anita"/>
    <x v="1"/>
    <s v="srikanth verma"/>
    <s v="Srikanth Verma"/>
    <x v="3"/>
    <n v="2"/>
    <n v="55000"/>
    <n v="5"/>
    <x v="0"/>
    <x v="0"/>
    <n v="104500"/>
    <n v="110000"/>
    <s v="Mar,2025"/>
  </r>
  <r>
    <s v="O044"/>
    <d v="2025-04-06T00:00:00"/>
    <s v="Praveen"/>
    <x v="0"/>
    <s v="Anita Joseph"/>
    <s v="Anita Joseph"/>
    <x v="1"/>
    <n v="2"/>
    <n v="7500"/>
    <n v="6"/>
    <x v="1"/>
    <x v="0"/>
    <n v="14100"/>
    <n v="15000"/>
    <s v="Apr,2025"/>
  </r>
  <r>
    <s v="O045"/>
    <d v="2025-02-23T00:00:00"/>
    <s v="Nikita"/>
    <x v="2"/>
    <s v="RAHUL NAIR"/>
    <s v="Rahul Nair"/>
    <x v="2"/>
    <n v="4"/>
    <n v="18000"/>
    <n v="8"/>
    <x v="2"/>
    <x v="0"/>
    <n v="66240"/>
    <n v="72000"/>
    <s v="Feb,2025"/>
  </r>
  <r>
    <s v="O046"/>
    <d v="2025-02-27T00:00:00"/>
    <s v="Ankit"/>
    <x v="2"/>
    <s v="RAHUL NAIR"/>
    <s v="Rahul Nair"/>
    <x v="0"/>
    <n v="2"/>
    <n v="12000"/>
    <n v="6"/>
    <x v="1"/>
    <x v="0"/>
    <n v="22560"/>
    <n v="24000"/>
    <s v="Feb,2025"/>
  </r>
  <r>
    <s v="O047"/>
    <d v="2025-03-31T00:00:00"/>
    <s v="Kavya"/>
    <x v="3"/>
    <s v="Neha Sharma"/>
    <s v="Neha Sharma"/>
    <x v="0"/>
    <n v="2"/>
    <n v="12000"/>
    <n v="5"/>
    <x v="0"/>
    <x v="0"/>
    <n v="22800"/>
    <n v="24000"/>
    <s v="Mar,2025"/>
  </r>
  <r>
    <s v="O048"/>
    <d v="2025-02-14T00:00:00"/>
    <s v="Sahil"/>
    <x v="1"/>
    <s v="RAHUL NAIR"/>
    <s v="Rahul Nair"/>
    <x v="3"/>
    <n v="5"/>
    <n v="55000"/>
    <n v="7"/>
    <x v="3"/>
    <x v="0"/>
    <n v="255749.99999999997"/>
    <n v="275000"/>
    <s v="Feb,2025"/>
  </r>
  <r>
    <s v="O049"/>
    <d v="2025-02-28T00:00:00"/>
    <s v="Meena"/>
    <x v="0"/>
    <s v="RIYA GUPTA"/>
    <s v="Riya Gupta"/>
    <x v="4"/>
    <n v="3"/>
    <n v="9500"/>
    <n v="4"/>
    <x v="5"/>
    <x v="0"/>
    <n v="27360"/>
    <n v="28500"/>
    <s v="Feb,2025"/>
  </r>
  <r>
    <s v="O050"/>
    <d v="2025-03-21T00:00:00"/>
    <s v="Sandhya"/>
    <x v="2"/>
    <s v="Neha Sharma"/>
    <s v="Neha Sharma"/>
    <x v="2"/>
    <n v="6"/>
    <n v="18000"/>
    <n v="5"/>
    <x v="0"/>
    <x v="0"/>
    <n v="102600"/>
    <n v="108000"/>
    <s v="Mar,2025"/>
  </r>
  <r>
    <s v="O051"/>
    <d v="2025-03-05T00:00:00"/>
    <s v="Suman"/>
    <x v="3"/>
    <s v="Anita Joseph"/>
    <s v="Anita Joseph"/>
    <x v="3"/>
    <n v="1"/>
    <n v="55000"/>
    <n v="6"/>
    <x v="1"/>
    <x v="0"/>
    <n v="51700"/>
    <n v="55000"/>
    <s v="Mar,2025"/>
  </r>
  <r>
    <s v="O052"/>
    <d v="2025-04-12T00:00:00"/>
    <s v="Naveen"/>
    <x v="0"/>
    <s v="Neha Sharma"/>
    <s v="Neha Sharma"/>
    <x v="2"/>
    <n v="5"/>
    <n v="18000"/>
    <n v="3"/>
    <x v="4"/>
    <x v="0"/>
    <n v="87300"/>
    <n v="90000"/>
    <s v="Apr,2025"/>
  </r>
  <r>
    <s v="O053"/>
    <d v="2025-04-25T00:00:00"/>
    <s v="Prashant"/>
    <x v="2"/>
    <s v="RAHUL NAIR"/>
    <s v="Rahul Nair"/>
    <x v="0"/>
    <n v="1"/>
    <n v="12000"/>
    <n v="5"/>
    <x v="0"/>
    <x v="0"/>
    <n v="11400"/>
    <n v="12000"/>
    <s v="Apr,2025"/>
  </r>
  <r>
    <s v="O054"/>
    <d v="2025-02-08T00:00:00"/>
    <s v="Deepa Menon"/>
    <x v="3"/>
    <s v="Anita Joseph"/>
    <s v="Anita Joseph"/>
    <x v="2"/>
    <n v="6"/>
    <n v="18000"/>
    <n v="8"/>
    <x v="2"/>
    <x v="0"/>
    <n v="99360"/>
    <n v="108000"/>
    <s v="Feb,2025"/>
  </r>
  <r>
    <s v="O055"/>
    <d v="2025-03-19T00:00:00"/>
    <s v="Kumar"/>
    <x v="0"/>
    <s v="Neha Sharma"/>
    <s v="Neha Sharma"/>
    <x v="4"/>
    <n v="2"/>
    <n v="9500"/>
    <n v="6"/>
    <x v="1"/>
    <x v="0"/>
    <n v="17860"/>
    <n v="19000"/>
    <s v="Mar,2025"/>
  </r>
  <r>
    <s v="O056"/>
    <d v="2025-03-02T00:00:00"/>
    <s v="Lakshmi"/>
    <x v="2"/>
    <s v="RIYA GUPTA"/>
    <s v="Riya Gupta"/>
    <x v="1"/>
    <n v="6"/>
    <n v="7500"/>
    <n v="5"/>
    <x v="0"/>
    <x v="1"/>
    <n v="0"/>
    <n v="0"/>
    <s v="Mar,2025"/>
  </r>
  <r>
    <s v="O057"/>
    <d v="2025-04-09T00:00:00"/>
    <s v="Neha Sharma"/>
    <x v="1"/>
    <s v="RAHUL NAIR"/>
    <s v="Rahul Nair"/>
    <x v="2"/>
    <n v="4"/>
    <n v="18000"/>
    <n v="6"/>
    <x v="1"/>
    <x v="0"/>
    <n v="67680"/>
    <n v="72000"/>
    <s v="Apr,2025"/>
  </r>
  <r>
    <s v="O058"/>
    <d v="2025-02-17T00:00:00"/>
    <s v="Suresh"/>
    <x v="0"/>
    <s v="Neha Sharma"/>
    <s v="Neha Sharma"/>
    <x v="0"/>
    <n v="2"/>
    <n v="12000"/>
    <n v="4"/>
    <x v="5"/>
    <x v="0"/>
    <n v="23040"/>
    <n v="24000"/>
    <s v="Feb,2025"/>
  </r>
  <r>
    <s v="O059"/>
    <d v="2025-02-20T00:00:00"/>
    <s v="Sunil"/>
    <x v="2"/>
    <s v="Anita Joseph"/>
    <s v="Anita Joseph"/>
    <x v="3"/>
    <n v="3"/>
    <n v="55000"/>
    <n v="6"/>
    <x v="1"/>
    <x v="0"/>
    <n v="155100"/>
    <n v="165000"/>
    <s v="Feb,2025"/>
  </r>
  <r>
    <s v="O060"/>
    <d v="2025-03-24T00:00:00"/>
    <s v="Vikram"/>
    <x v="3"/>
    <s v="RAHUL NAIR"/>
    <s v="Rahul Nair"/>
    <x v="4"/>
    <n v="1"/>
    <n v="9500"/>
    <n v="3"/>
    <x v="4"/>
    <x v="0"/>
    <n v="9215"/>
    <n v="9500"/>
    <s v="Mar,2025"/>
  </r>
  <r>
    <s v="O061"/>
    <d v="2025-02-13T00:00:00"/>
    <s v="Kamal"/>
    <x v="0"/>
    <s v="Neha Sharma"/>
    <s v="Neha Sharma"/>
    <x v="2"/>
    <n v="2"/>
    <n v="18000"/>
    <n v="5"/>
    <x v="0"/>
    <x v="0"/>
    <n v="34200"/>
    <n v="36000"/>
    <s v="Feb,2025"/>
  </r>
  <r>
    <s v="O062"/>
    <d v="2025-04-02T00:00:00"/>
    <s v="Rohit"/>
    <x v="1"/>
    <s v="Anita Joseph"/>
    <s v="Anita Joseph"/>
    <x v="0"/>
    <n v="3"/>
    <n v="12000"/>
    <n v="5"/>
    <x v="0"/>
    <x v="0"/>
    <n v="34200"/>
    <n v="36000"/>
    <s v="Apr,2025"/>
  </r>
  <r>
    <s v="O063"/>
    <d v="2025-04-15T00:00:00"/>
    <s v="Priyanka"/>
    <x v="2"/>
    <s v="RAHUL NAIR"/>
    <s v="Rahul Nair"/>
    <x v="3"/>
    <n v="1"/>
    <n v="55000"/>
    <n v="6"/>
    <x v="1"/>
    <x v="0"/>
    <n v="51700"/>
    <n v="55000"/>
    <s v="Apr,2025"/>
  </r>
  <r>
    <s v="O064"/>
    <d v="2025-02-27T00:00:00"/>
    <s v="Gaurav"/>
    <x v="3"/>
    <s v="Neha Sharma"/>
    <s v="Neha Sharma"/>
    <x v="2"/>
    <n v="2"/>
    <n v="18000"/>
    <n v="4"/>
    <x v="5"/>
    <x v="0"/>
    <n v="34560"/>
    <n v="36000"/>
    <s v="Feb,2025"/>
  </r>
  <r>
    <s v="O065"/>
    <d v="2025-03-10T00:00:00"/>
    <s v="Rekha"/>
    <x v="0"/>
    <s v="RAHUL NAIR"/>
    <s v="Rahul Nair"/>
    <x v="1"/>
    <n v="3"/>
    <n v="7500"/>
    <n v="5"/>
    <x v="0"/>
    <x v="1"/>
    <n v="0"/>
    <n v="0"/>
    <s v="Mar,2025"/>
  </r>
  <r>
    <s v="O066"/>
    <d v="2025-04-18T00:00:00"/>
    <s v="Sahil"/>
    <x v="1"/>
    <s v="Neha Sharma"/>
    <s v="Neha Sharma"/>
    <x v="0"/>
    <n v="4"/>
    <n v="12000"/>
    <n v="7"/>
    <x v="3"/>
    <x v="0"/>
    <n v="44640"/>
    <n v="48000"/>
    <s v="Apr,2025"/>
  </r>
  <r>
    <s v="O067"/>
    <d v="2025-04-04T00:00:00"/>
    <s v="Megha"/>
    <x v="2"/>
    <s v="Anita Joseph"/>
    <s v="Anita Joseph"/>
    <x v="2"/>
    <n v="6"/>
    <n v="18000"/>
    <n v="8"/>
    <x v="2"/>
    <x v="1"/>
    <n v="0"/>
    <n v="0"/>
    <s v="Apr,2025"/>
  </r>
  <r>
    <s v="O068"/>
    <d v="2025-02-22T00:00:00"/>
    <s v="Kishore"/>
    <x v="3"/>
    <s v="RIYA GUPTA"/>
    <s v="Riya Gupta"/>
    <x v="4"/>
    <n v="2"/>
    <n v="9500"/>
    <n v="6"/>
    <x v="1"/>
    <x v="0"/>
    <n v="17860"/>
    <n v="19000"/>
    <s v="Feb,2025"/>
  </r>
  <r>
    <s v="O069"/>
    <d v="2025-03-03T00:00:00"/>
    <s v="Arjun Reddy"/>
    <x v="0"/>
    <s v="RAHUL NAIR"/>
    <s v="Rahul Nair"/>
    <x v="3"/>
    <n v="1"/>
    <s v="55000 "/>
    <n v="6"/>
    <x v="1"/>
    <x v="0"/>
    <n v="51700"/>
    <n v="55000"/>
    <s v="Mar,2025"/>
  </r>
  <r>
    <s v="O070"/>
    <d v="2025-04-07T00:00:00"/>
    <s v="Suman"/>
    <x v="2"/>
    <s v="Neha Sharma"/>
    <s v="Neha Sharma"/>
    <x v="0"/>
    <n v="2"/>
    <n v="12000"/>
    <n v="3"/>
    <x v="4"/>
    <x v="0"/>
    <n v="23280"/>
    <n v="24000"/>
    <s v="Apr,2025"/>
  </r>
  <r>
    <s v="O071"/>
    <d v="2025-02-16T00:00:00"/>
    <s v="Jagdish"/>
    <x v="0"/>
    <s v="Anita Joseph"/>
    <s v="Anita Joseph"/>
    <x v="2"/>
    <n v="3"/>
    <n v="18000"/>
    <n v="5"/>
    <x v="0"/>
    <x v="0"/>
    <n v="51300"/>
    <n v="54000"/>
    <s v="Feb,2025"/>
  </r>
  <r>
    <s v="O072"/>
    <d v="2025-03-30T00:00:00"/>
    <s v="Asha"/>
    <x v="1"/>
    <s v="Neha Sharma"/>
    <s v="Neha Sharma"/>
    <x v="4"/>
    <n v="4"/>
    <n v="9500"/>
    <n v="7"/>
    <x v="3"/>
    <x v="0"/>
    <n v="35340"/>
    <n v="38000"/>
    <s v="Mar,2025"/>
  </r>
  <r>
    <s v="O073"/>
    <d v="2025-04-11T00:00:00"/>
    <s v="Bhavesh"/>
    <x v="3"/>
    <s v="RAHUL NAIR"/>
    <s v="Rahul Nair"/>
    <x v="2"/>
    <n v="5"/>
    <n v="18000"/>
    <n v="6"/>
    <x v="1"/>
    <x v="0"/>
    <n v="84600"/>
    <n v="90000"/>
    <s v="Apr,2025"/>
  </r>
  <r>
    <s v="O074"/>
    <d v="2025-03-05T00:00:00"/>
    <s v="Manju S"/>
    <x v="2"/>
    <s v="Neha Sharma"/>
    <s v="Neha Sharma"/>
    <x v="3"/>
    <n v="2"/>
    <n v="55000"/>
    <n v="5"/>
    <x v="0"/>
    <x v="2"/>
    <n v="0"/>
    <n v="0"/>
    <s v="Mar,2025"/>
  </r>
  <r>
    <s v="O075"/>
    <d v="2025-02-26T00:00:00"/>
    <s v="Ritu"/>
    <x v="0"/>
    <s v="srikanth verma"/>
    <s v="Srikanth Verma"/>
    <x v="1"/>
    <n v="1"/>
    <n v="7500"/>
    <n v="3"/>
    <x v="4"/>
    <x v="0"/>
    <n v="7275"/>
    <n v="7500"/>
    <s v="Feb,2025"/>
  </r>
  <r>
    <s v="O076"/>
    <d v="2025-04-08T00:00:00"/>
    <s v="Kunal"/>
    <x v="1"/>
    <s v="RAHUL NAIR"/>
    <s v="Rahul Nair"/>
    <x v="0"/>
    <n v="1"/>
    <n v="12000"/>
    <n v="4"/>
    <x v="5"/>
    <x v="0"/>
    <n v="11520"/>
    <n v="12000"/>
    <s v="Apr,2025"/>
  </r>
  <r>
    <s v="O077"/>
    <d v="2025-03-14T00:00:00"/>
    <s v="Bhavana"/>
    <x v="3"/>
    <s v="Neha Sharma"/>
    <s v="Neha Sharma"/>
    <x v="2"/>
    <n v="2"/>
    <n v="18000"/>
    <n v="6"/>
    <x v="1"/>
    <x v="0"/>
    <n v="33840"/>
    <n v="36000"/>
    <s v="Mar,2025"/>
  </r>
  <r>
    <s v="O078"/>
    <s v="19-Feb-2025  "/>
    <s v="Shweta"/>
    <x v="2"/>
    <s v="Anita Joseph"/>
    <s v="Anita Joseph"/>
    <x v="4"/>
    <n v="3"/>
    <n v="9500"/>
    <n v="6"/>
    <x v="1"/>
    <x v="0"/>
    <n v="26790"/>
    <n v="28500"/>
    <s v="Feb,2025"/>
  </r>
  <r>
    <s v="O079"/>
    <d v="2025-04-01T00:00:00"/>
    <s v="Sahil"/>
    <x v="0"/>
    <s v="RAHUL NAIR"/>
    <s v="Rahul Nair"/>
    <x v="0"/>
    <n v="4"/>
    <n v="12000"/>
    <n v="5"/>
    <x v="0"/>
    <x v="0"/>
    <n v="45600"/>
    <n v="48000"/>
    <s v="Apr,2025"/>
  </r>
  <r>
    <s v="O080"/>
    <d v="2025-03-24T00:00:00"/>
    <s v="Aditi"/>
    <x v="1"/>
    <s v="Neha Sharma"/>
    <s v="Neha Sharma"/>
    <x v="3"/>
    <n v="1"/>
    <n v="55000"/>
    <n v="6"/>
    <x v="1"/>
    <x v="0"/>
    <n v="51700"/>
    <n v="55000"/>
    <s v="Mar,2025"/>
  </r>
  <r>
    <s v="O082"/>
    <d v="2025-04-21T00:00:00"/>
    <s v="Arjun Reddy"/>
    <x v="0"/>
    <s v="Neha Sharma"/>
    <s v="Neha Sharma"/>
    <x v="3"/>
    <n v="2"/>
    <n v="55000"/>
    <n v="6"/>
    <x v="1"/>
    <x v="0"/>
    <n v="103400"/>
    <n v="110000"/>
    <s v="Apr,2025"/>
  </r>
  <r>
    <s v="O083"/>
    <d v="2025-03-06T00:00:00"/>
    <s v="Pooja"/>
    <x v="2"/>
    <s v="RAHUL NAIR"/>
    <s v="Rahul Nair"/>
    <x v="4"/>
    <n v="1"/>
    <n v="9500"/>
    <n v="3"/>
    <x v="4"/>
    <x v="0"/>
    <n v="9215"/>
    <n v="9500"/>
    <s v="Mar,2025"/>
  </r>
  <r>
    <s v="O084"/>
    <d v="2025-03-17T00:00:00"/>
    <s v="Shiv"/>
    <x v="1"/>
    <s v="Neha Sharma"/>
    <s v="Neha Sharma"/>
    <x v="0"/>
    <n v="2"/>
    <n v="12000"/>
    <n v="5"/>
    <x v="0"/>
    <x v="0"/>
    <n v="22800"/>
    <n v="24000"/>
    <s v="Mar,2025"/>
  </r>
  <r>
    <s v="O085"/>
    <d v="2025-02-12T00:00:00"/>
    <s v="Ananya"/>
    <x v="3"/>
    <s v="RAHUL NAIR"/>
    <s v="Rahul Nair"/>
    <x v="2"/>
    <n v="3"/>
    <n v="18000"/>
    <n v="4"/>
    <x v="5"/>
    <x v="0"/>
    <n v="51840"/>
    <n v="54000"/>
    <s v="Feb,2025"/>
  </r>
  <r>
    <s v="O086"/>
    <d v="2025-02-28T00:00:00"/>
    <s v="Ramesh"/>
    <x v="0"/>
    <s v="Anita Joseph"/>
    <s v="Anita Joseph"/>
    <x v="1"/>
    <n v="2"/>
    <n v="7500"/>
    <n v="4"/>
    <x v="5"/>
    <x v="0"/>
    <n v="14400"/>
    <n v="15000"/>
    <s v="Feb,2025"/>
  </r>
  <r>
    <s v="O087"/>
    <d v="2025-04-04T00:00:00"/>
    <s v="Pranav"/>
    <x v="2"/>
    <s v="Neha Sharma"/>
    <s v="Neha Sharma"/>
    <x v="3"/>
    <n v="3"/>
    <n v="55000"/>
    <n v="5"/>
    <x v="0"/>
    <x v="0"/>
    <n v="156750"/>
    <n v="165000"/>
    <s v="Apr,2025"/>
  </r>
  <r>
    <s v="O088"/>
    <d v="2025-03-09T00:00:00"/>
    <s v="Deepak"/>
    <x v="3"/>
    <s v="RAHUL NAIR"/>
    <s v="Rahul Nair"/>
    <x v="0"/>
    <n v="2"/>
    <n v="12000"/>
    <n v="6"/>
    <x v="1"/>
    <x v="0"/>
    <n v="22560"/>
    <n v="24000"/>
    <s v="Mar,2025"/>
  </r>
  <r>
    <s v="O089"/>
    <d v="2025-03-31T00:00:00"/>
    <s v="Suman"/>
    <x v="1"/>
    <s v="Anita Joseph"/>
    <s v="Anita Joseph"/>
    <x v="2"/>
    <n v="4"/>
    <n v="18000"/>
    <n v="8"/>
    <x v="2"/>
    <x v="0"/>
    <n v="66240"/>
    <n v="72000"/>
    <s v="Mar,2025"/>
  </r>
  <r>
    <s v="O090"/>
    <d v="2025-02-23T00:00:00"/>
    <s v="Ragini"/>
    <x v="0"/>
    <s v="Neha Sharma"/>
    <s v="Neha Sharma"/>
    <x v="4"/>
    <n v="2"/>
    <n v="9500"/>
    <n v="5"/>
    <x v="0"/>
    <x v="0"/>
    <n v="18050"/>
    <n v="19000"/>
    <s v="Feb,2025"/>
  </r>
  <r>
    <s v="O091"/>
    <d v="2025-04-02T00:00:00"/>
    <s v="Nikita"/>
    <x v="2"/>
    <s v="RAHUL NAIR"/>
    <s v="Rahul Nair"/>
    <x v="0"/>
    <n v="3"/>
    <n v="12000"/>
    <n v="5"/>
    <x v="0"/>
    <x v="0"/>
    <n v="34200"/>
    <n v="36000"/>
    <s v="Apr,2025"/>
  </r>
  <r>
    <s v="O092"/>
    <d v="2025-04-05T00:00:00"/>
    <s v="Asha"/>
    <x v="3"/>
    <s v="Neha Sharma"/>
    <s v="Neha Sharma"/>
    <x v="2"/>
    <n v="4"/>
    <s v="18000"/>
    <n v="6"/>
    <x v="1"/>
    <x v="1"/>
    <n v="0"/>
    <n v="0"/>
    <s v="Apr,2025"/>
  </r>
  <r>
    <s v="O093"/>
    <d v="2025-04-29T00:00:00"/>
    <s v="Sunaina"/>
    <x v="3"/>
    <s v="RIYA GUPTA"/>
    <s v="Riya Gupta"/>
    <x v="1"/>
    <n v="2"/>
    <n v="7500"/>
    <n v="5"/>
    <x v="0"/>
    <x v="0"/>
    <n v="14250"/>
    <n v="15000"/>
    <s v="Apr,2025"/>
  </r>
  <r>
    <s v="O094"/>
    <d v="2025-03-11T00:00:00"/>
    <s v="Santhosh"/>
    <x v="3"/>
    <s v="Neha Sharma"/>
    <s v="Neha Sharma"/>
    <x v="2"/>
    <n v="2"/>
    <n v="18000"/>
    <n v="3"/>
    <x v="4"/>
    <x v="0"/>
    <n v="34920"/>
    <n v="36000"/>
    <s v="Mar,2025"/>
  </r>
  <r>
    <s v="O095"/>
    <d v="2025-02-07T00:00:00"/>
    <s v="Sahil"/>
    <x v="1"/>
    <s v="RAHUL NAIR"/>
    <s v="Rahul Nair"/>
    <x v="3"/>
    <n v="4"/>
    <n v="55000"/>
    <n v="7"/>
    <x v="3"/>
    <x v="0"/>
    <n v="204600"/>
    <n v="220000"/>
    <s v="Feb,2025"/>
  </r>
  <r>
    <s v="O096"/>
    <d v="2025-04-20T00:00:00"/>
    <s v="Meena"/>
    <x v="2"/>
    <s v="Neha Sharma"/>
    <s v="Neha Sharma"/>
    <x v="1"/>
    <n v="3"/>
    <n v="7500"/>
    <n v="6"/>
    <x v="1"/>
    <x v="1"/>
    <n v="0"/>
    <n v="0"/>
    <s v="Apr,2025"/>
  </r>
  <r>
    <s v="O097"/>
    <d v="2025-03-25T00:00:00"/>
    <s v="Ashok"/>
    <x v="0"/>
    <s v="Anita Joseph"/>
    <s v="Anita Joseph"/>
    <x v="0"/>
    <n v="2"/>
    <n v="12000"/>
    <n v="5"/>
    <x v="0"/>
    <x v="0"/>
    <n v="22800"/>
    <n v="24000"/>
    <s v="Mar,2025"/>
  </r>
  <r>
    <s v="O098"/>
    <d v="2025-04-16T00:00:00"/>
    <s v="Arun Kumar"/>
    <x v="2"/>
    <s v="Neha Sharma"/>
    <s v="Neha Sharma"/>
    <x v="3"/>
    <n v="7"/>
    <n v="55000"/>
    <n v="1"/>
    <x v="7"/>
    <x v="0"/>
    <n v="0"/>
    <n v="385000"/>
    <s v="Apr,2025"/>
  </r>
  <r>
    <s v="O099"/>
    <d v="2025-02-05T00:00:00"/>
    <s v="Bhavya"/>
    <x v="3"/>
    <s v="RAHUL NAIR"/>
    <s v="Rahul Nair"/>
    <x v="2"/>
    <n v="2"/>
    <n v="18000"/>
    <n v="5"/>
    <x v="0"/>
    <x v="0"/>
    <n v="34200"/>
    <n v="36000"/>
    <s v="Feb,2025"/>
  </r>
  <r>
    <s v="O100"/>
    <d v="2025-03-15T00:00:00"/>
    <s v="Vinod"/>
    <x v="0"/>
    <s v="Neha Sharma"/>
    <s v="Neha Sharma"/>
    <x v="4"/>
    <n v="1"/>
    <n v="9500"/>
    <n v="3"/>
    <x v="4"/>
    <x v="0"/>
    <n v="9215"/>
    <n v="9500"/>
    <s v="Mar,2025"/>
  </r>
  <r>
    <s v="O101"/>
    <d v="2025-02-27T00:00:00"/>
    <s v="Ankit"/>
    <x v="2"/>
    <s v="RAHUL NAIR"/>
    <s v="Rahul Nair"/>
    <x v="0"/>
    <n v="2"/>
    <n v="12000"/>
    <n v="6"/>
    <x v="1"/>
    <x v="0"/>
    <n v="22560"/>
    <n v="24000"/>
    <s v="Feb,2025"/>
  </r>
  <r>
    <s v="O102"/>
    <d v="2025-04-08T00:00:00"/>
    <s v="Sahil"/>
    <x v="0"/>
    <s v="Neha Sharma"/>
    <s v="Neha Sharma"/>
    <x v="2"/>
    <n v="3"/>
    <n v="18000"/>
    <n v="5"/>
    <x v="0"/>
    <x v="0"/>
    <n v="51300"/>
    <n v="54000"/>
    <s v="Apr,2025"/>
  </r>
  <r>
    <s v="O103"/>
    <d v="2025-02-22T00:00:00"/>
    <s v="Shalini S"/>
    <x v="3"/>
    <s v="Anita Joseph"/>
    <s v="Anita Joseph"/>
    <x v="4"/>
    <n v="4"/>
    <n v="9500"/>
    <n v="6"/>
    <x v="1"/>
    <x v="0"/>
    <n v="35720"/>
    <n v="38000"/>
    <s v="Feb,2025"/>
  </r>
  <r>
    <s v="O104"/>
    <d v="2025-01-04T00:00:00"/>
    <s v="Priya"/>
    <x v="2"/>
    <s v="Neha Sharma"/>
    <s v="Neha Sharma"/>
    <x v="0"/>
    <n v="3"/>
    <n v="12000"/>
    <n v="5"/>
    <x v="0"/>
    <x v="0"/>
    <n v="34200"/>
    <n v="36000"/>
    <s v="Jan,2025"/>
  </r>
  <r>
    <s v="O105"/>
    <d v="2025-03-01T00:00:00"/>
    <s v="Deepa Menon"/>
    <x v="2"/>
    <s v="Anita Joseph"/>
    <s v="Anita Joseph"/>
    <x v="2"/>
    <n v="6"/>
    <n v="18000"/>
    <n v="8"/>
    <x v="2"/>
    <x v="0"/>
    <n v="99360"/>
    <n v="108000"/>
    <s v="Mar,2025"/>
  </r>
  <r>
    <s v="O106"/>
    <d v="2025-03-04T00:00:00"/>
    <s v="Megha S"/>
    <x v="1"/>
    <s v="RAHUL NAIR"/>
    <s v="Rahul Nair"/>
    <x v="0"/>
    <n v="2"/>
    <n v="12000"/>
    <n v="5"/>
    <x v="0"/>
    <x v="0"/>
    <n v="22800"/>
    <n v="24000"/>
    <s v="Mar,2025"/>
  </r>
  <r>
    <s v="O107"/>
    <d v="2025-03-10T00:00:00"/>
    <s v="Naveen"/>
    <x v="0"/>
    <s v="Neha Sharma"/>
    <s v="Neha Sharma"/>
    <x v="1"/>
    <n v="2"/>
    <n v="7500"/>
    <n v="4"/>
    <x v="5"/>
    <x v="0"/>
    <n v="14400"/>
    <n v="15000"/>
    <s v="Mar,2025"/>
  </r>
  <r>
    <s v="O108"/>
    <d v="2025-02-14T00:00:00"/>
    <s v="Sahil"/>
    <x v="2"/>
    <s v="RAHUL NAIR"/>
    <s v="Rahul Nair"/>
    <x v="3"/>
    <n v="5"/>
    <n v="55000"/>
    <n v="7"/>
    <x v="3"/>
    <x v="0"/>
    <n v="255749.99999999997"/>
    <n v="275000"/>
    <s v="Feb,2025"/>
  </r>
  <r>
    <s v="O109"/>
    <d v="2025-03-30T00:00:00"/>
    <s v="Kumar"/>
    <x v="3"/>
    <s v="Neha Sharma"/>
    <s v="Neha Sharma"/>
    <x v="2"/>
    <n v="3"/>
    <n v="18000"/>
    <n v="5"/>
    <x v="0"/>
    <x v="0"/>
    <n v="51300"/>
    <n v="54000"/>
    <s v="Mar,2025"/>
  </r>
  <r>
    <s v="O110"/>
    <d v="2025-02-26T00:00:00"/>
    <s v="Ramesh K"/>
    <x v="1"/>
    <s v="srikanth verma"/>
    <s v="Srikanth Verma"/>
    <x v="3"/>
    <n v="1"/>
    <n v="55000"/>
    <n v="0.08"/>
    <x v="2"/>
    <x v="1"/>
    <n v="0"/>
    <n v="0"/>
    <s v="Feb,2025"/>
  </r>
  <r>
    <s v="O111"/>
    <d v="2025-04-09T00:00:00"/>
    <s v="Tejaswini"/>
    <x v="0"/>
    <s v="Anita Joseph"/>
    <s v="Anita Joseph"/>
    <x v="0"/>
    <n v="2"/>
    <n v="12000"/>
    <n v="5"/>
    <x v="0"/>
    <x v="0"/>
    <n v="22800"/>
    <n v="24000"/>
    <s v="Apr,2025"/>
  </r>
  <r>
    <s v="O112"/>
    <d v="2025-02-03T00:00:00"/>
    <s v="Bhavana"/>
    <x v="2"/>
    <s v="RAHUL NAIR"/>
    <s v="Rahul Nair"/>
    <x v="4"/>
    <n v="2"/>
    <n v="9500"/>
    <n v="4"/>
    <x v="5"/>
    <x v="0"/>
    <n v="18240"/>
    <n v="19000"/>
    <s v="Feb,2025"/>
  </r>
  <r>
    <s v="O113"/>
    <d v="2025-03-19T00:00:00"/>
    <s v="Neha"/>
    <x v="3"/>
    <s v="Neha Sharma"/>
    <s v="Neha Sharma"/>
    <x v="2"/>
    <n v="4"/>
    <n v="18000"/>
    <n v="6"/>
    <x v="1"/>
    <x v="0"/>
    <n v="67680"/>
    <n v="72000"/>
    <s v="Mar,2025"/>
  </r>
  <r>
    <s v="O114"/>
    <d v="2025-02-12T00:00:00"/>
    <s v="Arjun Reddy"/>
    <x v="0"/>
    <s v="RAHUL NAIR"/>
    <s v="Rahul Nair"/>
    <x v="4"/>
    <n v="2"/>
    <n v="9500"/>
    <n v="6"/>
    <x v="1"/>
    <x v="0"/>
    <n v="17860"/>
    <n v="19000"/>
    <s v="Feb,2025"/>
  </r>
  <r>
    <s v="O115"/>
    <d v="2025-03-24T00:00:00"/>
    <s v="Pradeep"/>
    <x v="1"/>
    <s v="Anita Joseph"/>
    <s v="Anita Joseph"/>
    <x v="3"/>
    <n v="2"/>
    <n v="55000"/>
    <n v="5"/>
    <x v="0"/>
    <x v="0"/>
    <n v="104500"/>
    <n v="110000"/>
    <s v="Mar,2025"/>
  </r>
  <r>
    <s v="O116"/>
    <d v="2025-02-15T00:00:00"/>
    <s v="Maya"/>
    <x v="0"/>
    <s v="RAHUL NAIR"/>
    <s v="Rahul Nair"/>
    <x v="0"/>
    <n v="3"/>
    <n v="12000"/>
    <n v="4"/>
    <x v="5"/>
    <x v="0"/>
    <n v="34560"/>
    <n v="36000"/>
    <s v="Feb,2025"/>
  </r>
  <r>
    <s v="O117"/>
    <s v="21-Apr-2025 "/>
    <s v="Neha Sharma"/>
    <x v="2"/>
    <s v="Anita Joseph"/>
    <s v="Anita Joseph"/>
    <x v="4"/>
    <n v="2"/>
    <n v="9500"/>
    <n v="5"/>
    <x v="0"/>
    <x v="0"/>
    <n v="18050"/>
    <n v="19000"/>
    <s v="Apr,2025"/>
  </r>
  <r>
    <s v="O118"/>
    <d v="2025-03-02T00:00:00"/>
    <s v="Dinesh"/>
    <x v="1"/>
    <s v="Neha Sharma"/>
    <s v="Neha Sharma"/>
    <x v="1"/>
    <n v="1"/>
    <n v="7500"/>
    <n v="6"/>
    <x v="1"/>
    <x v="0"/>
    <n v="7050"/>
    <n v="7500"/>
    <s v="Mar,2025"/>
  </r>
  <r>
    <s v="O119"/>
    <d v="2025-04-07T00:00:00"/>
    <s v="Suresh"/>
    <x v="3"/>
    <s v="RAHUL NAIR"/>
    <s v="Rahul Nair"/>
    <x v="2"/>
    <n v="5"/>
    <n v="18000"/>
    <n v="7"/>
    <x v="3"/>
    <x v="1"/>
    <n v="0"/>
    <n v="0"/>
    <s v="Apr,2025"/>
  </r>
  <r>
    <s v="O120"/>
    <d v="2025-02-16T00:00:00"/>
    <s v="Ramesh"/>
    <x v="0"/>
    <s v="Neha Sharma"/>
    <s v="Neha Sharma"/>
    <x v="0"/>
    <n v="3"/>
    <n v="12000"/>
    <n v="6"/>
    <x v="1"/>
    <x v="0"/>
    <n v="33840"/>
    <n v="36000"/>
    <s v="Feb,2025"/>
  </r>
  <r>
    <s v="O121"/>
    <d v="2025-03-11T00:00:00"/>
    <s v="Aditi"/>
    <x v="2"/>
    <s v="RAHUL NAIR"/>
    <s v="Rahul Nair"/>
    <x v="3"/>
    <n v="1"/>
    <n v="55000"/>
    <n v="5"/>
    <x v="0"/>
    <x v="0"/>
    <n v="52250"/>
    <n v="55000"/>
    <s v="Mar,2025"/>
  </r>
  <r>
    <s v="O122"/>
    <s v="22-Feb-2025 "/>
    <s v="NoteDate"/>
    <x v="0"/>
    <s v="Neha Sharma"/>
    <s v="Neha Sharma"/>
    <x v="2"/>
    <n v="2"/>
    <n v="18000"/>
    <n v="4"/>
    <x v="5"/>
    <x v="0"/>
    <n v="34560"/>
    <n v="36000"/>
    <s v="Feb,2025"/>
  </r>
  <r>
    <s v="O123"/>
    <d v="2025-04-02T00:00:00"/>
    <s v="Pranav"/>
    <x v="1"/>
    <s v="Anita Joseph"/>
    <s v="Anita Joseph"/>
    <x v="4"/>
    <n v="3"/>
    <n v="9500"/>
    <n v="6"/>
    <x v="1"/>
    <x v="0"/>
    <n v="26790"/>
    <n v="28500"/>
    <s v="Apr,2025"/>
  </r>
  <r>
    <s v="O124"/>
    <d v="2025-03-08T00:00:00"/>
    <s v="Gita"/>
    <x v="2"/>
    <s v="RAHUL NAIR"/>
    <s v="Rahul Nair"/>
    <x v="0"/>
    <n v="2"/>
    <n v="12000"/>
    <n v="5"/>
    <x v="0"/>
    <x v="0"/>
    <n v="22800"/>
    <n v="24000"/>
    <s v="Mar,2025"/>
  </r>
  <r>
    <s v="O125"/>
    <d v="2025-02-17T00:00:00"/>
    <s v="Sahil"/>
    <x v="3"/>
    <s v="Neha Sharma"/>
    <s v="Neha Sharma"/>
    <x v="2"/>
    <n v="6"/>
    <n v="18000"/>
    <n v="8"/>
    <x v="2"/>
    <x v="0"/>
    <n v="99360"/>
    <n v="108000"/>
    <s v="Feb,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7" applyNumberFormats="0" applyBorderFormats="0" applyFontFormats="0" applyPatternFormats="0" applyAlignmentFormats="0" applyWidthHeightFormats="0" dataCaption="" updatedVersion="8" compact="0" compactData="0">
  <location ref="A5:B10" firstHeaderRow="1" firstDataRow="1" firstDataCol="1" rowPageCount="1" colPageCount="1"/>
  <pivotFields count="15">
    <pivotField name="Order ID" compact="0" outline="0" multipleItemSelectionAllowed="1" showAll="0"/>
    <pivotField name="Order Date" compact="0" outline="0" multipleItemSelectionAllowed="1" showAll="0"/>
    <pivotField name="Customer Name" compact="0" outline="0" multipleItemSelectionAllowed="1" showAll="0"/>
    <pivotField name="Region" axis="axisRow" compact="0" outline="0" multipleItemSelectionAllowed="1" showAll="0" sortType="ascending">
      <items count="5">
        <item x="3"/>
        <item x="1"/>
        <item x="0"/>
        <item x="2"/>
        <item t="default"/>
      </items>
    </pivotField>
    <pivotField name="Raw Name" compact="0" outline="0" multipleItemSelectionAllowed="1" showAll="0"/>
    <pivotField name="Salesperson Name" compact="0" outline="0" multipleItemSelectionAllowed="1" showAll="0"/>
    <pivotField name="Product" compact="0" numFmtId="165" outline="0" multipleItemSelectionAllowed="1" showAll="0"/>
    <pivotField name="Quantity" compact="0" outline="0" multipleItemSelectionAllowed="1" showAll="0"/>
    <pivotField name="Unit Price" compact="0" outline="0" multipleItemSelectionAllowed="1" showAll="0"/>
    <pivotField name="Raw Discount %" compact="0" outline="0" multipleItemSelectionAllowed="1" showAll="0"/>
    <pivotField name="Discount%" compact="0" numFmtId="10" outline="0" multipleItemSelectionAllowed="1" showAll="0"/>
    <pivotField name="Payment Status" axis="axisPage" compact="0" outline="0" multipleItemSelectionAllowed="1" showAll="0">
      <items count="4">
        <item x="0"/>
        <item h="1" x="1"/>
        <item h="1" x="2"/>
        <item t="default"/>
      </items>
    </pivotField>
    <pivotField name="Net Revenue" dataField="1" compact="0" outline="0" multipleItemSelectionAllowed="1" showAll="0"/>
    <pivotField name="Revenue" compact="0" outline="0" multipleItemSelectionAllowed="1" showAll="0"/>
    <pivotField name="Month" compact="0" outline="0" multipleItemSelectionAllowe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hier="0"/>
  </pageFields>
  <dataFields count="1">
    <dataField name="SUM of Net Revenue" fld="12" baseField="0"/>
  </dataFields>
  <formats count="1">
    <format dxfId="1">
      <pivotArea outline="0" fieldPosition="0">
        <references count="1">
          <reference field="3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Higher Discount" cacheId="7" applyNumberFormats="0" applyBorderFormats="0" applyFontFormats="0" applyPatternFormats="0" applyAlignmentFormats="0" applyWidthHeightFormats="0" dataCaption="" updatedVersion="8" compact="0" compactData="0">
  <location ref="A1:G12" firstHeaderRow="1" firstDataRow="2" firstDataCol="1"/>
  <pivotFields count="15">
    <pivotField name="Order ID" compact="0" outline="0" multipleItemSelectionAllowed="1" showAll="0"/>
    <pivotField name="Order Date" compact="0" outline="0" multipleItemSelectionAllowed="1" showAll="0"/>
    <pivotField name="Customer Name" compact="0" outline="0" multipleItemSelectionAllowed="1" showAll="0"/>
    <pivotField name="Region" compact="0" outline="0" multipleItemSelectionAllowed="1" showAll="0"/>
    <pivotField name="Raw Name" compact="0" outline="0" multipleItemSelectionAllowed="1" showAll="0"/>
    <pivotField name="Salesperson Name" compact="0" outline="0" multipleItemSelectionAllowed="1" showAll="0"/>
    <pivotField name="Product" axis="axisCol" compact="0" numFmtId="165" outline="0" multipleItemSelectionAllowed="1" showAll="0" sortType="ascending">
      <items count="6">
        <item x="4"/>
        <item x="3"/>
        <item x="2"/>
        <item x="1"/>
        <item x="0"/>
        <item t="default"/>
      </items>
    </pivotField>
    <pivotField name="Quantity" compact="0" outline="0" multipleItemSelectionAllowed="1" showAll="0"/>
    <pivotField name="Unit Price" compact="0" outline="0" multipleItemSelectionAllowed="1" showAll="0"/>
    <pivotField name="Raw Discount %" compact="0" outline="0" multipleItemSelectionAllowed="1" showAll="0"/>
    <pivotField name="Discount%" axis="axisRow" compact="0" numFmtId="10" outline="0" multipleItemSelectionAllowed="1" showAll="0" sortType="ascending">
      <items count="10">
        <item x="6"/>
        <item x="8"/>
        <item x="4"/>
        <item x="5"/>
        <item x="0"/>
        <item x="1"/>
        <item x="3"/>
        <item x="2"/>
        <item x="7"/>
        <item t="default"/>
      </items>
    </pivotField>
    <pivotField name="Payment Status" compact="0" outline="0" multipleItemSelectionAllowed="1" showAll="0"/>
    <pivotField name="Net Revenue" dataField="1" compact="0" outline="0" multipleItemSelectionAllowed="1" showAll="0"/>
    <pivotField name="Revenue" compact="0" outline="0" multipleItemSelectionAllowed="1" showAll="0"/>
    <pivotField name="Month" compact="0" outline="0" multipleItemSelectionAllowed="1"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 Revenue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DEDE-94FC-42AA-A540-C36A93E05BF9}">
  <dimension ref="A2:B4"/>
  <sheetViews>
    <sheetView workbookViewId="0">
      <selection activeCell="B4" sqref="B4"/>
    </sheetView>
  </sheetViews>
  <sheetFormatPr defaultRowHeight="13.2" x14ac:dyDescent="0.25"/>
  <sheetData>
    <row r="2" spans="1:2" x14ac:dyDescent="0.25">
      <c r="A2">
        <v>1</v>
      </c>
      <c r="B2" t="s">
        <v>266</v>
      </c>
    </row>
    <row r="3" spans="1:2" x14ac:dyDescent="0.25">
      <c r="A3">
        <v>2</v>
      </c>
      <c r="B3" t="s">
        <v>265</v>
      </c>
    </row>
    <row r="4" spans="1:2" x14ac:dyDescent="0.25">
      <c r="A4">
        <v>3</v>
      </c>
      <c r="B4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5"/>
  <sheetViews>
    <sheetView topLeftCell="E1" workbookViewId="0">
      <selection activeCell="P4" sqref="P4"/>
    </sheetView>
  </sheetViews>
  <sheetFormatPr defaultColWidth="12.6640625" defaultRowHeight="15.75" customHeight="1" x14ac:dyDescent="0.25"/>
  <cols>
    <col min="3" max="3" width="17.109375" customWidth="1"/>
    <col min="5" max="6" width="20.21875" customWidth="1"/>
  </cols>
  <sheetData>
    <row r="1" spans="1:27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25">
      <c r="A2" s="6" t="s">
        <v>15</v>
      </c>
      <c r="B2" s="7">
        <v>45770</v>
      </c>
      <c r="C2" s="8" t="s">
        <v>16</v>
      </c>
      <c r="D2" s="8" t="s">
        <v>17</v>
      </c>
      <c r="E2" s="8" t="s">
        <v>18</v>
      </c>
      <c r="F2" s="8" t="str">
        <f t="shared" ref="F2:F9" si="0">PROPER(E2)</f>
        <v>Neha Sharma</v>
      </c>
      <c r="G2" s="9" t="s">
        <v>19</v>
      </c>
      <c r="H2" s="8">
        <v>2</v>
      </c>
      <c r="I2" s="8">
        <v>12000</v>
      </c>
      <c r="J2" s="8">
        <v>5</v>
      </c>
      <c r="K2" s="10">
        <f t="shared" ref="K2:K125" si="1">IF(J2&gt;1,J2/100,J2)</f>
        <v>0.05</v>
      </c>
      <c r="L2" s="8" t="s">
        <v>20</v>
      </c>
      <c r="M2" s="8">
        <f t="shared" ref="M2:M125" si="2">IF(L2="paid",H2*I2*(1-K2),0)</f>
        <v>22800</v>
      </c>
      <c r="N2" s="8">
        <f t="shared" ref="N2:N125" si="3">IF(L2="paid",H2*I2,0)</f>
        <v>24000</v>
      </c>
      <c r="O2" s="8" t="str">
        <f>TEXT(B2,"mmm-yyy")</f>
        <v>Apr-2025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 x14ac:dyDescent="0.25">
      <c r="A3" s="6" t="s">
        <v>21</v>
      </c>
      <c r="B3" s="7">
        <v>45775</v>
      </c>
      <c r="C3" s="8" t="s">
        <v>22</v>
      </c>
      <c r="D3" s="8" t="s">
        <v>17</v>
      </c>
      <c r="E3" s="8" t="s">
        <v>23</v>
      </c>
      <c r="F3" s="8" t="str">
        <f t="shared" si="0"/>
        <v>Riya Gupta</v>
      </c>
      <c r="G3" s="9" t="s">
        <v>24</v>
      </c>
      <c r="H3" s="8">
        <v>2</v>
      </c>
      <c r="I3" s="8">
        <v>7500</v>
      </c>
      <c r="J3" s="8">
        <v>6</v>
      </c>
      <c r="K3" s="10">
        <f t="shared" si="1"/>
        <v>0.06</v>
      </c>
      <c r="L3" s="8" t="s">
        <v>20</v>
      </c>
      <c r="M3" s="8">
        <f t="shared" si="2"/>
        <v>14100</v>
      </c>
      <c r="N3" s="8">
        <f t="shared" si="3"/>
        <v>15000</v>
      </c>
      <c r="O3" s="8" t="str">
        <f t="shared" ref="O3:O66" si="4">TEXT(B3,"mmm-yyy")</f>
        <v>Apr-2025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 x14ac:dyDescent="0.25">
      <c r="A4" s="6" t="s">
        <v>25</v>
      </c>
      <c r="B4" s="11">
        <v>45723</v>
      </c>
      <c r="C4" s="8" t="s">
        <v>26</v>
      </c>
      <c r="D4" s="8" t="s">
        <v>27</v>
      </c>
      <c r="E4" s="8" t="s">
        <v>28</v>
      </c>
      <c r="F4" s="8" t="str">
        <f t="shared" si="0"/>
        <v>Srikanth Verma</v>
      </c>
      <c r="G4" s="9" t="s">
        <v>29</v>
      </c>
      <c r="H4" s="8">
        <v>6</v>
      </c>
      <c r="I4" s="8">
        <v>18000</v>
      </c>
      <c r="J4" s="8">
        <v>8</v>
      </c>
      <c r="K4" s="10">
        <f t="shared" si="1"/>
        <v>0.08</v>
      </c>
      <c r="L4" s="8" t="s">
        <v>30</v>
      </c>
      <c r="M4" s="8">
        <f t="shared" si="2"/>
        <v>0</v>
      </c>
      <c r="N4" s="8">
        <f t="shared" si="3"/>
        <v>0</v>
      </c>
      <c r="O4" s="8" t="str">
        <f t="shared" si="4"/>
        <v>Mar-2025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 x14ac:dyDescent="0.25">
      <c r="A5" s="6" t="s">
        <v>31</v>
      </c>
      <c r="B5" s="7">
        <v>45702</v>
      </c>
      <c r="C5" s="8" t="s">
        <v>32</v>
      </c>
      <c r="D5" s="8" t="s">
        <v>33</v>
      </c>
      <c r="E5" s="8" t="s">
        <v>18</v>
      </c>
      <c r="F5" s="8" t="str">
        <f t="shared" si="0"/>
        <v>Neha Sharma</v>
      </c>
      <c r="G5" s="9" t="s">
        <v>29</v>
      </c>
      <c r="H5" s="8">
        <v>6</v>
      </c>
      <c r="I5" s="8">
        <v>18000</v>
      </c>
      <c r="J5" s="8">
        <v>8</v>
      </c>
      <c r="K5" s="10">
        <f t="shared" si="1"/>
        <v>0.08</v>
      </c>
      <c r="L5" s="8" t="s">
        <v>30</v>
      </c>
      <c r="M5" s="8">
        <f t="shared" si="2"/>
        <v>0</v>
      </c>
      <c r="N5" s="8">
        <f t="shared" si="3"/>
        <v>0</v>
      </c>
      <c r="O5" s="8" t="str">
        <f t="shared" si="4"/>
        <v>Feb-2025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 x14ac:dyDescent="0.25">
      <c r="A6" s="6" t="s">
        <v>34</v>
      </c>
      <c r="B6" s="7">
        <v>45708</v>
      </c>
      <c r="C6" s="8" t="s">
        <v>35</v>
      </c>
      <c r="D6" s="8" t="s">
        <v>27</v>
      </c>
      <c r="E6" s="8" t="s">
        <v>36</v>
      </c>
      <c r="F6" s="8" t="str">
        <f t="shared" si="0"/>
        <v>Srikanth Verma</v>
      </c>
      <c r="G6" s="9" t="s">
        <v>37</v>
      </c>
      <c r="H6" s="8">
        <v>1</v>
      </c>
      <c r="I6" s="8">
        <v>55000</v>
      </c>
      <c r="J6" s="12">
        <v>0.08</v>
      </c>
      <c r="K6" s="10">
        <f t="shared" si="1"/>
        <v>0.08</v>
      </c>
      <c r="L6" s="8" t="s">
        <v>30</v>
      </c>
      <c r="M6" s="8">
        <f t="shared" si="2"/>
        <v>0</v>
      </c>
      <c r="N6" s="8">
        <f t="shared" si="3"/>
        <v>0</v>
      </c>
      <c r="O6" s="8" t="str">
        <f t="shared" si="4"/>
        <v>Feb-2025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 x14ac:dyDescent="0.25">
      <c r="A7" s="6" t="s">
        <v>38</v>
      </c>
      <c r="B7" s="11">
        <v>45719</v>
      </c>
      <c r="C7" s="8" t="s">
        <v>39</v>
      </c>
      <c r="D7" s="8" t="s">
        <v>40</v>
      </c>
      <c r="E7" s="8" t="s">
        <v>41</v>
      </c>
      <c r="F7" s="8" t="str">
        <f t="shared" si="0"/>
        <v>Anita Joseph</v>
      </c>
      <c r="G7" s="9" t="s">
        <v>37</v>
      </c>
      <c r="H7" s="8">
        <v>2</v>
      </c>
      <c r="I7" s="8">
        <v>55000</v>
      </c>
      <c r="J7" s="8">
        <v>6</v>
      </c>
      <c r="K7" s="10">
        <f t="shared" si="1"/>
        <v>0.06</v>
      </c>
      <c r="L7" s="8" t="s">
        <v>20</v>
      </c>
      <c r="M7" s="8">
        <f t="shared" si="2"/>
        <v>103400</v>
      </c>
      <c r="N7" s="8">
        <f t="shared" si="3"/>
        <v>110000</v>
      </c>
      <c r="O7" s="8" t="str">
        <f t="shared" si="4"/>
        <v>Mar-2025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 x14ac:dyDescent="0.25">
      <c r="A8" s="6" t="s">
        <v>42</v>
      </c>
      <c r="B8" s="7">
        <v>45758</v>
      </c>
      <c r="C8" s="8" t="s">
        <v>43</v>
      </c>
      <c r="D8" s="8" t="s">
        <v>33</v>
      </c>
      <c r="E8" s="8" t="s">
        <v>44</v>
      </c>
      <c r="F8" s="8" t="str">
        <f t="shared" si="0"/>
        <v>Rahul Nair</v>
      </c>
      <c r="G8" s="9" t="s">
        <v>19</v>
      </c>
      <c r="H8" s="8">
        <v>3</v>
      </c>
      <c r="I8" s="8">
        <v>12000</v>
      </c>
      <c r="J8" s="8">
        <v>5</v>
      </c>
      <c r="K8" s="10">
        <f t="shared" si="1"/>
        <v>0.05</v>
      </c>
      <c r="L8" s="8" t="s">
        <v>20</v>
      </c>
      <c r="M8" s="8">
        <f t="shared" si="2"/>
        <v>34200</v>
      </c>
      <c r="N8" s="8">
        <f t="shared" si="3"/>
        <v>36000</v>
      </c>
      <c r="O8" s="8" t="str">
        <f t="shared" si="4"/>
        <v>Apr-2025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 x14ac:dyDescent="0.25">
      <c r="A9" s="6" t="s">
        <v>45</v>
      </c>
      <c r="B9" s="7">
        <v>45735</v>
      </c>
      <c r="C9" s="8" t="s">
        <v>46</v>
      </c>
      <c r="D9" s="8" t="s">
        <v>17</v>
      </c>
      <c r="E9" s="8" t="s">
        <v>18</v>
      </c>
      <c r="F9" s="8" t="str">
        <f t="shared" si="0"/>
        <v>Neha Sharma</v>
      </c>
      <c r="G9" s="9" t="s">
        <v>29</v>
      </c>
      <c r="H9" s="8">
        <v>4</v>
      </c>
      <c r="I9" s="8">
        <v>18000</v>
      </c>
      <c r="J9" s="8">
        <v>7</v>
      </c>
      <c r="K9" s="10">
        <f t="shared" si="1"/>
        <v>7.0000000000000007E-2</v>
      </c>
      <c r="L9" s="8" t="s">
        <v>20</v>
      </c>
      <c r="M9" s="8">
        <f t="shared" si="2"/>
        <v>66960</v>
      </c>
      <c r="N9" s="8">
        <f t="shared" si="3"/>
        <v>72000</v>
      </c>
      <c r="O9" s="8" t="str">
        <f t="shared" si="4"/>
        <v>Mar-2025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 x14ac:dyDescent="0.25">
      <c r="A10" s="6" t="s">
        <v>47</v>
      </c>
      <c r="B10" s="7">
        <v>45713</v>
      </c>
      <c r="C10" s="8" t="s">
        <v>48</v>
      </c>
      <c r="D10" s="8" t="s">
        <v>40</v>
      </c>
      <c r="E10" s="8" t="str">
        <f>E75</f>
        <v>neha sharma</v>
      </c>
      <c r="F10" s="8" t="str">
        <f t="shared" ref="E10:F10" si="5">F75</f>
        <v>Neha Sharma</v>
      </c>
      <c r="G10" s="9" t="s">
        <v>37</v>
      </c>
      <c r="H10" s="8">
        <v>3</v>
      </c>
      <c r="I10" s="8">
        <v>55000</v>
      </c>
      <c r="J10" s="8">
        <v>5</v>
      </c>
      <c r="K10" s="10">
        <f t="shared" si="1"/>
        <v>0.05</v>
      </c>
      <c r="L10" s="8" t="s">
        <v>49</v>
      </c>
      <c r="M10" s="8">
        <f t="shared" si="2"/>
        <v>0</v>
      </c>
      <c r="N10" s="8">
        <f t="shared" si="3"/>
        <v>0</v>
      </c>
      <c r="O10" s="8" t="str">
        <f t="shared" si="4"/>
        <v>Feb-2025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6" t="s">
        <v>50</v>
      </c>
      <c r="B11" s="11">
        <v>45695</v>
      </c>
      <c r="C11" s="8" t="s">
        <v>41</v>
      </c>
      <c r="D11" s="8" t="s">
        <v>17</v>
      </c>
      <c r="E11" s="8" t="s">
        <v>41</v>
      </c>
      <c r="F11" s="8" t="str">
        <f t="shared" ref="F11:F125" si="6">PROPER(E11)</f>
        <v>Anita Joseph</v>
      </c>
      <c r="G11" s="9" t="s">
        <v>24</v>
      </c>
      <c r="H11" s="8">
        <v>2</v>
      </c>
      <c r="I11" s="8">
        <v>7500</v>
      </c>
      <c r="J11" s="8">
        <v>8</v>
      </c>
      <c r="K11" s="10">
        <f t="shared" si="1"/>
        <v>0.08</v>
      </c>
      <c r="L11" s="8" t="s">
        <v>20</v>
      </c>
      <c r="M11" s="8">
        <f t="shared" si="2"/>
        <v>13800</v>
      </c>
      <c r="N11" s="8">
        <f t="shared" si="3"/>
        <v>15000</v>
      </c>
      <c r="O11" s="8" t="str">
        <f t="shared" si="4"/>
        <v>Feb-2025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.75" customHeight="1" x14ac:dyDescent="0.25">
      <c r="A12" s="6" t="s">
        <v>51</v>
      </c>
      <c r="B12" s="11">
        <v>45750</v>
      </c>
      <c r="C12" s="8" t="s">
        <v>52</v>
      </c>
      <c r="D12" s="8" t="s">
        <v>27</v>
      </c>
      <c r="E12" s="8" t="s">
        <v>18</v>
      </c>
      <c r="F12" s="8" t="str">
        <f t="shared" si="6"/>
        <v>Neha Sharma</v>
      </c>
      <c r="G12" s="9" t="s">
        <v>53</v>
      </c>
      <c r="H12" s="8">
        <v>1</v>
      </c>
      <c r="I12" s="8">
        <v>9500</v>
      </c>
      <c r="J12" s="8">
        <v>3</v>
      </c>
      <c r="K12" s="10">
        <f t="shared" si="1"/>
        <v>0.03</v>
      </c>
      <c r="L12" s="8" t="s">
        <v>20</v>
      </c>
      <c r="M12" s="8">
        <f t="shared" si="2"/>
        <v>9215</v>
      </c>
      <c r="N12" s="8">
        <f t="shared" si="3"/>
        <v>9500</v>
      </c>
      <c r="O12" s="8" t="str">
        <f t="shared" si="4"/>
        <v>Apr-2025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.75" customHeight="1" x14ac:dyDescent="0.25">
      <c r="A13" s="6" t="s">
        <v>54</v>
      </c>
      <c r="B13" s="7">
        <v>45705</v>
      </c>
      <c r="C13" s="8" t="s">
        <v>55</v>
      </c>
      <c r="D13" s="8" t="s">
        <v>33</v>
      </c>
      <c r="E13" s="8" t="s">
        <v>56</v>
      </c>
      <c r="F13" s="8" t="str">
        <f t="shared" si="6"/>
        <v>Rahul Nair</v>
      </c>
      <c r="G13" s="9" t="s">
        <v>19</v>
      </c>
      <c r="H13" s="8">
        <v>1</v>
      </c>
      <c r="I13" s="8">
        <v>12000</v>
      </c>
      <c r="J13" s="8">
        <v>4</v>
      </c>
      <c r="K13" s="10">
        <f t="shared" si="1"/>
        <v>0.04</v>
      </c>
      <c r="L13" s="8" t="s">
        <v>20</v>
      </c>
      <c r="M13" s="8">
        <f t="shared" si="2"/>
        <v>11520</v>
      </c>
      <c r="N13" s="8">
        <f t="shared" si="3"/>
        <v>12000</v>
      </c>
      <c r="O13" s="8" t="str">
        <f t="shared" si="4"/>
        <v>Feb-2025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.75" customHeight="1" x14ac:dyDescent="0.25">
      <c r="A14" s="6" t="s">
        <v>57</v>
      </c>
      <c r="B14" s="11">
        <v>45718</v>
      </c>
      <c r="C14" s="8" t="s">
        <v>58</v>
      </c>
      <c r="D14" s="8" t="s">
        <v>40</v>
      </c>
      <c r="E14" s="8" t="s">
        <v>18</v>
      </c>
      <c r="F14" s="8" t="str">
        <f t="shared" si="6"/>
        <v>Neha Sharma</v>
      </c>
      <c r="G14" s="9" t="s">
        <v>29</v>
      </c>
      <c r="H14" s="8">
        <v>6</v>
      </c>
      <c r="I14" s="8">
        <v>18000</v>
      </c>
      <c r="J14" s="8">
        <v>8</v>
      </c>
      <c r="K14" s="10">
        <f t="shared" si="1"/>
        <v>0.08</v>
      </c>
      <c r="L14" s="8" t="s">
        <v>20</v>
      </c>
      <c r="M14" s="8">
        <f t="shared" si="2"/>
        <v>99360</v>
      </c>
      <c r="N14" s="8">
        <f t="shared" si="3"/>
        <v>108000</v>
      </c>
      <c r="O14" s="8" t="str">
        <f t="shared" si="4"/>
        <v>Mar-2025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 x14ac:dyDescent="0.25">
      <c r="A15" s="6" t="s">
        <v>59</v>
      </c>
      <c r="B15" s="7">
        <v>45760</v>
      </c>
      <c r="C15" s="8" t="s">
        <v>43</v>
      </c>
      <c r="D15" s="8" t="s">
        <v>33</v>
      </c>
      <c r="E15" s="8" t="s">
        <v>18</v>
      </c>
      <c r="F15" s="8" t="str">
        <f t="shared" si="6"/>
        <v>Neha Sharma</v>
      </c>
      <c r="G15" s="9" t="s">
        <v>29</v>
      </c>
      <c r="H15" s="8">
        <v>5</v>
      </c>
      <c r="I15" s="8">
        <v>18000</v>
      </c>
      <c r="J15" s="8">
        <v>0</v>
      </c>
      <c r="K15" s="10">
        <f t="shared" si="1"/>
        <v>0</v>
      </c>
      <c r="L15" s="8" t="s">
        <v>20</v>
      </c>
      <c r="M15" s="8">
        <f t="shared" si="2"/>
        <v>90000</v>
      </c>
      <c r="N15" s="8">
        <f t="shared" si="3"/>
        <v>90000</v>
      </c>
      <c r="O15" s="8" t="str">
        <f t="shared" si="4"/>
        <v>Apr-2025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 x14ac:dyDescent="0.25">
      <c r="A16" s="6" t="s">
        <v>60</v>
      </c>
      <c r="B16" s="11">
        <v>45724</v>
      </c>
      <c r="C16" s="8" t="s">
        <v>61</v>
      </c>
      <c r="D16" s="8" t="s">
        <v>17</v>
      </c>
      <c r="E16" s="8" t="s">
        <v>44</v>
      </c>
      <c r="F16" s="8" t="str">
        <f t="shared" si="6"/>
        <v>Rahul Nair</v>
      </c>
      <c r="G16" s="9" t="s">
        <v>37</v>
      </c>
      <c r="H16" s="8">
        <v>1</v>
      </c>
      <c r="I16" s="8">
        <v>55000</v>
      </c>
      <c r="J16" s="8">
        <v>7</v>
      </c>
      <c r="K16" s="10">
        <f t="shared" si="1"/>
        <v>7.0000000000000007E-2</v>
      </c>
      <c r="L16" s="8" t="s">
        <v>20</v>
      </c>
      <c r="M16" s="8">
        <f t="shared" si="2"/>
        <v>51150</v>
      </c>
      <c r="N16" s="8">
        <f t="shared" si="3"/>
        <v>55000</v>
      </c>
      <c r="O16" s="8" t="str">
        <f t="shared" si="4"/>
        <v>Mar-2025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 x14ac:dyDescent="0.25">
      <c r="A17" s="6" t="s">
        <v>62</v>
      </c>
      <c r="B17" s="7">
        <v>45709</v>
      </c>
      <c r="C17" s="8" t="s">
        <v>63</v>
      </c>
      <c r="D17" s="8" t="s">
        <v>27</v>
      </c>
      <c r="E17" s="8" t="s">
        <v>23</v>
      </c>
      <c r="F17" s="8" t="str">
        <f t="shared" si="6"/>
        <v>Riya Gupta</v>
      </c>
      <c r="G17" s="9" t="s">
        <v>24</v>
      </c>
      <c r="H17" s="8">
        <v>3</v>
      </c>
      <c r="I17" s="8">
        <v>7500</v>
      </c>
      <c r="J17" s="8">
        <v>5</v>
      </c>
      <c r="K17" s="10">
        <f t="shared" si="1"/>
        <v>0.05</v>
      </c>
      <c r="L17" s="8" t="s">
        <v>20</v>
      </c>
      <c r="M17" s="8">
        <f t="shared" si="2"/>
        <v>21375</v>
      </c>
      <c r="N17" s="8">
        <f t="shared" si="3"/>
        <v>22500</v>
      </c>
      <c r="O17" s="8" t="str">
        <f t="shared" si="4"/>
        <v>Feb-2025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 x14ac:dyDescent="0.25">
      <c r="A18" s="6" t="s">
        <v>64</v>
      </c>
      <c r="B18" s="7">
        <v>45745</v>
      </c>
      <c r="C18" s="8" t="s">
        <v>65</v>
      </c>
      <c r="D18" s="8" t="s">
        <v>40</v>
      </c>
      <c r="E18" s="8" t="s">
        <v>28</v>
      </c>
      <c r="F18" s="8" t="str">
        <f t="shared" si="6"/>
        <v>Srikanth Verma</v>
      </c>
      <c r="G18" s="9" t="s">
        <v>53</v>
      </c>
      <c r="H18" s="8">
        <v>2</v>
      </c>
      <c r="I18" s="8">
        <v>9500</v>
      </c>
      <c r="J18" s="8">
        <v>6</v>
      </c>
      <c r="K18" s="10">
        <f t="shared" si="1"/>
        <v>0.06</v>
      </c>
      <c r="L18" s="8" t="s">
        <v>20</v>
      </c>
      <c r="M18" s="8">
        <f t="shared" si="2"/>
        <v>17860</v>
      </c>
      <c r="N18" s="8">
        <f t="shared" si="3"/>
        <v>19000</v>
      </c>
      <c r="O18" s="8" t="str">
        <f t="shared" si="4"/>
        <v>Mar-2025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 x14ac:dyDescent="0.25">
      <c r="A19" s="6" t="s">
        <v>66</v>
      </c>
      <c r="B19" s="11">
        <v>45749</v>
      </c>
      <c r="C19" s="8" t="s">
        <v>67</v>
      </c>
      <c r="D19" s="8" t="s">
        <v>33</v>
      </c>
      <c r="E19" s="8" t="s">
        <v>18</v>
      </c>
      <c r="F19" s="8" t="str">
        <f t="shared" si="6"/>
        <v>Neha Sharma</v>
      </c>
      <c r="G19" s="9" t="s">
        <v>37</v>
      </c>
      <c r="H19" s="8">
        <v>7</v>
      </c>
      <c r="I19" s="8">
        <v>55000</v>
      </c>
      <c r="J19" s="8">
        <v>1</v>
      </c>
      <c r="K19" s="10">
        <f t="shared" si="1"/>
        <v>1</v>
      </c>
      <c r="L19" s="8" t="s">
        <v>49</v>
      </c>
      <c r="M19" s="8">
        <f t="shared" si="2"/>
        <v>0</v>
      </c>
      <c r="N19" s="8">
        <f t="shared" si="3"/>
        <v>0</v>
      </c>
      <c r="O19" s="8" t="str">
        <f t="shared" si="4"/>
        <v>Apr-2025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 x14ac:dyDescent="0.25">
      <c r="A20" s="6" t="s">
        <v>68</v>
      </c>
      <c r="B20" s="11">
        <v>45721</v>
      </c>
      <c r="C20" s="8" t="s">
        <v>69</v>
      </c>
      <c r="D20" s="8" t="s">
        <v>17</v>
      </c>
      <c r="E20" s="8" t="s">
        <v>70</v>
      </c>
      <c r="F20" s="8" t="str">
        <f t="shared" si="6"/>
        <v>Anita Joseph</v>
      </c>
      <c r="G20" s="9" t="s">
        <v>19</v>
      </c>
      <c r="H20" s="8">
        <v>2</v>
      </c>
      <c r="I20" s="8">
        <v>12000</v>
      </c>
      <c r="J20" s="8">
        <v>5</v>
      </c>
      <c r="K20" s="10">
        <f t="shared" si="1"/>
        <v>0.05</v>
      </c>
      <c r="L20" s="8" t="s">
        <v>20</v>
      </c>
      <c r="M20" s="8">
        <f t="shared" si="2"/>
        <v>22800</v>
      </c>
      <c r="N20" s="8">
        <f t="shared" si="3"/>
        <v>24000</v>
      </c>
      <c r="O20" s="8" t="str">
        <f t="shared" si="4"/>
        <v>Mar-2025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 x14ac:dyDescent="0.25">
      <c r="A21" s="6" t="s">
        <v>71</v>
      </c>
      <c r="B21" s="7">
        <v>45759</v>
      </c>
      <c r="C21" s="8" t="s">
        <v>72</v>
      </c>
      <c r="D21" s="8" t="s">
        <v>27</v>
      </c>
      <c r="E21" s="8" t="s">
        <v>56</v>
      </c>
      <c r="F21" s="8" t="str">
        <f t="shared" si="6"/>
        <v>Rahul Nair</v>
      </c>
      <c r="G21" s="9" t="s">
        <v>29</v>
      </c>
      <c r="H21" s="8">
        <v>4</v>
      </c>
      <c r="I21" s="8">
        <v>18000</v>
      </c>
      <c r="J21" s="8">
        <v>8</v>
      </c>
      <c r="K21" s="10">
        <f t="shared" si="1"/>
        <v>0.08</v>
      </c>
      <c r="L21" s="8" t="s">
        <v>20</v>
      </c>
      <c r="M21" s="8">
        <f t="shared" si="2"/>
        <v>66240</v>
      </c>
      <c r="N21" s="8">
        <f t="shared" si="3"/>
        <v>72000</v>
      </c>
      <c r="O21" s="8" t="str">
        <f t="shared" si="4"/>
        <v>Apr-2025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 x14ac:dyDescent="0.25">
      <c r="A22" s="6" t="s">
        <v>73</v>
      </c>
      <c r="B22" s="7">
        <v>45712</v>
      </c>
      <c r="C22" s="8" t="s">
        <v>74</v>
      </c>
      <c r="D22" s="8" t="s">
        <v>17</v>
      </c>
      <c r="E22" s="8" t="s">
        <v>18</v>
      </c>
      <c r="F22" s="8" t="str">
        <f t="shared" si="6"/>
        <v>Neha Sharma</v>
      </c>
      <c r="G22" s="9" t="s">
        <v>53</v>
      </c>
      <c r="H22" s="8">
        <v>3</v>
      </c>
      <c r="I22" s="8">
        <v>9500</v>
      </c>
      <c r="J22" s="8">
        <v>6</v>
      </c>
      <c r="K22" s="10">
        <f t="shared" si="1"/>
        <v>0.06</v>
      </c>
      <c r="L22" s="8" t="s">
        <v>20</v>
      </c>
      <c r="M22" s="8">
        <f t="shared" si="2"/>
        <v>26790</v>
      </c>
      <c r="N22" s="8">
        <f t="shared" si="3"/>
        <v>28500</v>
      </c>
      <c r="O22" s="8" t="str">
        <f t="shared" si="4"/>
        <v>Feb-2025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 x14ac:dyDescent="0.25">
      <c r="A23" s="6" t="s">
        <v>75</v>
      </c>
      <c r="B23" s="11">
        <v>45725</v>
      </c>
      <c r="C23" s="8" t="s">
        <v>76</v>
      </c>
      <c r="D23" s="8" t="s">
        <v>33</v>
      </c>
      <c r="E23" s="8" t="s">
        <v>23</v>
      </c>
      <c r="F23" s="8" t="str">
        <f t="shared" si="6"/>
        <v>Riya Gupta</v>
      </c>
      <c r="G23" s="9" t="s">
        <v>24</v>
      </c>
      <c r="H23" s="8">
        <v>4</v>
      </c>
      <c r="I23" s="8">
        <v>7500</v>
      </c>
      <c r="J23" s="8">
        <v>4</v>
      </c>
      <c r="K23" s="10">
        <f t="shared" si="1"/>
        <v>0.04</v>
      </c>
      <c r="L23" s="8" t="s">
        <v>30</v>
      </c>
      <c r="M23" s="8">
        <f t="shared" si="2"/>
        <v>0</v>
      </c>
      <c r="N23" s="8">
        <f t="shared" si="3"/>
        <v>0</v>
      </c>
      <c r="O23" s="8" t="str">
        <f t="shared" si="4"/>
        <v>Mar-2025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 x14ac:dyDescent="0.25">
      <c r="A24" s="6" t="s">
        <v>77</v>
      </c>
      <c r="B24" s="7">
        <v>45762</v>
      </c>
      <c r="C24" s="8" t="s">
        <v>78</v>
      </c>
      <c r="D24" s="8" t="s">
        <v>40</v>
      </c>
      <c r="E24" s="8" t="s">
        <v>18</v>
      </c>
      <c r="F24" s="8" t="str">
        <f t="shared" si="6"/>
        <v>Neha Sharma</v>
      </c>
      <c r="G24" s="9" t="s">
        <v>19</v>
      </c>
      <c r="H24" s="8">
        <v>2</v>
      </c>
      <c r="I24" s="8">
        <v>12000</v>
      </c>
      <c r="J24" s="8">
        <v>5</v>
      </c>
      <c r="K24" s="10">
        <f t="shared" si="1"/>
        <v>0.05</v>
      </c>
      <c r="L24" s="8" t="s">
        <v>20</v>
      </c>
      <c r="M24" s="8">
        <f t="shared" si="2"/>
        <v>22800</v>
      </c>
      <c r="N24" s="8">
        <f t="shared" si="3"/>
        <v>24000</v>
      </c>
      <c r="O24" s="8" t="str">
        <f t="shared" si="4"/>
        <v>Apr-2025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 x14ac:dyDescent="0.25">
      <c r="A25" s="6" t="s">
        <v>79</v>
      </c>
      <c r="B25" s="7">
        <v>45706</v>
      </c>
      <c r="C25" s="8" t="s">
        <v>80</v>
      </c>
      <c r="D25" s="8" t="s">
        <v>17</v>
      </c>
      <c r="E25" s="8" t="s">
        <v>41</v>
      </c>
      <c r="F25" s="8" t="str">
        <f t="shared" si="6"/>
        <v>Anita Joseph</v>
      </c>
      <c r="G25" s="9" t="s">
        <v>29</v>
      </c>
      <c r="H25" s="8">
        <v>3</v>
      </c>
      <c r="I25" s="8">
        <v>18000</v>
      </c>
      <c r="J25" s="8">
        <v>6</v>
      </c>
      <c r="K25" s="10">
        <f t="shared" si="1"/>
        <v>0.06</v>
      </c>
      <c r="L25" s="8" t="s">
        <v>20</v>
      </c>
      <c r="M25" s="8">
        <f t="shared" si="2"/>
        <v>50760</v>
      </c>
      <c r="N25" s="8">
        <f t="shared" si="3"/>
        <v>54000</v>
      </c>
      <c r="O25" s="8" t="str">
        <f t="shared" si="4"/>
        <v>Feb-2025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 x14ac:dyDescent="0.25">
      <c r="A26" s="6" t="s">
        <v>81</v>
      </c>
      <c r="B26" s="7">
        <v>45767</v>
      </c>
      <c r="C26" s="8" t="s">
        <v>82</v>
      </c>
      <c r="D26" s="8" t="s">
        <v>27</v>
      </c>
      <c r="E26" s="8" t="s">
        <v>44</v>
      </c>
      <c r="F26" s="8" t="str">
        <f t="shared" si="6"/>
        <v>Rahul Nair</v>
      </c>
      <c r="G26" s="9" t="s">
        <v>53</v>
      </c>
      <c r="H26" s="8">
        <v>5</v>
      </c>
      <c r="I26" s="8">
        <v>9500</v>
      </c>
      <c r="J26" s="8">
        <v>2</v>
      </c>
      <c r="K26" s="10">
        <f t="shared" si="1"/>
        <v>0.02</v>
      </c>
      <c r="L26" s="8" t="s">
        <v>49</v>
      </c>
      <c r="M26" s="8">
        <f t="shared" si="2"/>
        <v>0</v>
      </c>
      <c r="N26" s="8">
        <f t="shared" si="3"/>
        <v>0</v>
      </c>
      <c r="O26" s="8" t="str">
        <f t="shared" si="4"/>
        <v>Apr-2025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 x14ac:dyDescent="0.25">
      <c r="A27" s="6" t="s">
        <v>83</v>
      </c>
      <c r="B27" s="11">
        <v>45717</v>
      </c>
      <c r="C27" s="8" t="s">
        <v>84</v>
      </c>
      <c r="D27" s="8" t="s">
        <v>33</v>
      </c>
      <c r="E27" s="8" t="s">
        <v>18</v>
      </c>
      <c r="F27" s="8" t="str">
        <f t="shared" si="6"/>
        <v>Neha Sharma</v>
      </c>
      <c r="G27" s="9" t="s">
        <v>37</v>
      </c>
      <c r="H27" s="8">
        <v>1</v>
      </c>
      <c r="I27" s="8">
        <v>55000</v>
      </c>
      <c r="J27" s="8">
        <v>5</v>
      </c>
      <c r="K27" s="10">
        <f t="shared" si="1"/>
        <v>0.05</v>
      </c>
      <c r="L27" s="8" t="s">
        <v>20</v>
      </c>
      <c r="M27" s="8">
        <f t="shared" si="2"/>
        <v>52250</v>
      </c>
      <c r="N27" s="8">
        <f t="shared" si="3"/>
        <v>55000</v>
      </c>
      <c r="O27" s="8" t="str">
        <f t="shared" si="4"/>
        <v>Mar-2025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 x14ac:dyDescent="0.25">
      <c r="A28" s="6" t="s">
        <v>85</v>
      </c>
      <c r="B28" s="7">
        <v>45699</v>
      </c>
      <c r="C28" s="8" t="s">
        <v>86</v>
      </c>
      <c r="D28" s="8" t="s">
        <v>40</v>
      </c>
      <c r="E28" s="8" t="s">
        <v>28</v>
      </c>
      <c r="F28" s="8" t="str">
        <f t="shared" si="6"/>
        <v>Srikanth Verma</v>
      </c>
      <c r="G28" s="9" t="s">
        <v>53</v>
      </c>
      <c r="H28" s="8">
        <v>2</v>
      </c>
      <c r="I28" s="8">
        <v>9500</v>
      </c>
      <c r="J28" s="8">
        <v>6</v>
      </c>
      <c r="K28" s="10">
        <f t="shared" si="1"/>
        <v>0.06</v>
      </c>
      <c r="L28" s="8" t="s">
        <v>20</v>
      </c>
      <c r="M28" s="8">
        <f t="shared" si="2"/>
        <v>17860</v>
      </c>
      <c r="N28" s="8">
        <f t="shared" si="3"/>
        <v>19000</v>
      </c>
      <c r="O28" s="8" t="str">
        <f t="shared" si="4"/>
        <v>Feb-2025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 x14ac:dyDescent="0.25">
      <c r="A29" s="6" t="s">
        <v>87</v>
      </c>
      <c r="B29" s="11">
        <v>45751</v>
      </c>
      <c r="C29" s="8" t="s">
        <v>88</v>
      </c>
      <c r="D29" s="8" t="s">
        <v>17</v>
      </c>
      <c r="E29" s="8" t="s">
        <v>70</v>
      </c>
      <c r="F29" s="8" t="str">
        <f t="shared" si="6"/>
        <v>Anita Joseph</v>
      </c>
      <c r="G29" s="9" t="s">
        <v>19</v>
      </c>
      <c r="H29" s="8">
        <v>3</v>
      </c>
      <c r="I29" s="8">
        <v>12000</v>
      </c>
      <c r="J29" s="8">
        <v>5</v>
      </c>
      <c r="K29" s="10">
        <f t="shared" si="1"/>
        <v>0.05</v>
      </c>
      <c r="L29" s="8" t="s">
        <v>20</v>
      </c>
      <c r="M29" s="8">
        <f t="shared" si="2"/>
        <v>34200</v>
      </c>
      <c r="N29" s="8">
        <f t="shared" si="3"/>
        <v>36000</v>
      </c>
      <c r="O29" s="8" t="str">
        <f t="shared" si="4"/>
        <v>Apr-2025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 x14ac:dyDescent="0.25">
      <c r="A30" s="6" t="s">
        <v>89</v>
      </c>
      <c r="B30" s="7">
        <v>45730</v>
      </c>
      <c r="C30" s="8" t="s">
        <v>90</v>
      </c>
      <c r="D30" s="8" t="s">
        <v>27</v>
      </c>
      <c r="E30" s="8" t="s">
        <v>44</v>
      </c>
      <c r="F30" s="8" t="str">
        <f t="shared" si="6"/>
        <v>Rahul Nair</v>
      </c>
      <c r="G30" s="9" t="s">
        <v>29</v>
      </c>
      <c r="H30" s="8">
        <v>7</v>
      </c>
      <c r="I30" s="8">
        <v>18000</v>
      </c>
      <c r="J30" s="8">
        <v>4</v>
      </c>
      <c r="K30" s="10">
        <f t="shared" si="1"/>
        <v>0.04</v>
      </c>
      <c r="L30" s="8" t="s">
        <v>20</v>
      </c>
      <c r="M30" s="8">
        <f t="shared" si="2"/>
        <v>120960</v>
      </c>
      <c r="N30" s="8">
        <f t="shared" si="3"/>
        <v>126000</v>
      </c>
      <c r="O30" s="8" t="str">
        <f t="shared" si="4"/>
        <v>Mar-2025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 x14ac:dyDescent="0.25">
      <c r="A31" s="6" t="s">
        <v>91</v>
      </c>
      <c r="B31" s="7">
        <v>45715</v>
      </c>
      <c r="C31" s="8" t="s">
        <v>92</v>
      </c>
      <c r="D31" s="8" t="s">
        <v>33</v>
      </c>
      <c r="E31" s="8" t="s">
        <v>18</v>
      </c>
      <c r="F31" s="8" t="str">
        <f t="shared" si="6"/>
        <v>Neha Sharma</v>
      </c>
      <c r="G31" s="9" t="s">
        <v>24</v>
      </c>
      <c r="H31" s="8">
        <v>2</v>
      </c>
      <c r="I31" s="8">
        <v>7500</v>
      </c>
      <c r="J31" s="8">
        <v>6</v>
      </c>
      <c r="K31" s="10">
        <f t="shared" si="1"/>
        <v>0.06</v>
      </c>
      <c r="L31" s="8" t="s">
        <v>20</v>
      </c>
      <c r="M31" s="8">
        <f t="shared" si="2"/>
        <v>14100</v>
      </c>
      <c r="N31" s="8">
        <f t="shared" si="3"/>
        <v>15000</v>
      </c>
      <c r="O31" s="8" t="str">
        <f t="shared" si="4"/>
        <v>Feb-2025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6" t="s">
        <v>93</v>
      </c>
      <c r="B32" s="7">
        <v>45746</v>
      </c>
      <c r="C32" s="8" t="s">
        <v>94</v>
      </c>
      <c r="D32" s="8" t="s">
        <v>17</v>
      </c>
      <c r="E32" s="8" t="s">
        <v>44</v>
      </c>
      <c r="F32" s="8" t="str">
        <f t="shared" si="6"/>
        <v>Rahul Nair</v>
      </c>
      <c r="G32" s="9" t="s">
        <v>37</v>
      </c>
      <c r="H32" s="8">
        <v>2</v>
      </c>
      <c r="I32" s="8">
        <v>55000</v>
      </c>
      <c r="J32" s="8">
        <v>6</v>
      </c>
      <c r="K32" s="10">
        <f t="shared" si="1"/>
        <v>0.06</v>
      </c>
      <c r="L32" s="8" t="s">
        <v>20</v>
      </c>
      <c r="M32" s="8">
        <f t="shared" si="2"/>
        <v>103400</v>
      </c>
      <c r="N32" s="8">
        <f t="shared" si="3"/>
        <v>110000</v>
      </c>
      <c r="O32" s="8" t="str">
        <f t="shared" si="4"/>
        <v>Mar-2025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 x14ac:dyDescent="0.25">
      <c r="A33" s="6" t="s">
        <v>95</v>
      </c>
      <c r="B33" s="11">
        <v>45694</v>
      </c>
      <c r="C33" s="8" t="s">
        <v>96</v>
      </c>
      <c r="D33" s="8" t="s">
        <v>40</v>
      </c>
      <c r="E33" s="8" t="s">
        <v>23</v>
      </c>
      <c r="F33" s="8" t="str">
        <f t="shared" si="6"/>
        <v>Riya Gupta</v>
      </c>
      <c r="G33" s="9" t="s">
        <v>19</v>
      </c>
      <c r="H33" s="8">
        <v>1</v>
      </c>
      <c r="I33" s="8">
        <v>12000</v>
      </c>
      <c r="J33" s="8">
        <v>3</v>
      </c>
      <c r="K33" s="10">
        <f t="shared" si="1"/>
        <v>0.03</v>
      </c>
      <c r="L33" s="8" t="s">
        <v>20</v>
      </c>
      <c r="M33" s="8">
        <f t="shared" si="2"/>
        <v>11640</v>
      </c>
      <c r="N33" s="8">
        <f t="shared" si="3"/>
        <v>12000</v>
      </c>
      <c r="O33" s="8" t="str">
        <f t="shared" si="4"/>
        <v>Feb-2025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6" t="s">
        <v>97</v>
      </c>
      <c r="B34" s="7">
        <v>45738</v>
      </c>
      <c r="C34" s="8" t="s">
        <v>98</v>
      </c>
      <c r="D34" s="8" t="s">
        <v>33</v>
      </c>
      <c r="E34" s="8" t="s">
        <v>18</v>
      </c>
      <c r="F34" s="8" t="str">
        <f t="shared" si="6"/>
        <v>Neha Sharma</v>
      </c>
      <c r="G34" s="9" t="s">
        <v>29</v>
      </c>
      <c r="H34" s="8">
        <v>3</v>
      </c>
      <c r="I34" s="8">
        <v>18000</v>
      </c>
      <c r="J34" s="8">
        <v>5</v>
      </c>
      <c r="K34" s="10">
        <f t="shared" si="1"/>
        <v>0.05</v>
      </c>
      <c r="L34" s="8" t="s">
        <v>20</v>
      </c>
      <c r="M34" s="8">
        <f t="shared" si="2"/>
        <v>51300</v>
      </c>
      <c r="N34" s="8">
        <f t="shared" si="3"/>
        <v>54000</v>
      </c>
      <c r="O34" s="8" t="str">
        <f t="shared" si="4"/>
        <v>Mar-2025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 x14ac:dyDescent="0.25">
      <c r="A35" s="6" t="s">
        <v>99</v>
      </c>
      <c r="B35" s="7">
        <v>45757</v>
      </c>
      <c r="C35" s="8" t="s">
        <v>100</v>
      </c>
      <c r="D35" s="8" t="s">
        <v>17</v>
      </c>
      <c r="E35" s="8" t="s">
        <v>41</v>
      </c>
      <c r="F35" s="8" t="str">
        <f t="shared" si="6"/>
        <v>Anita Joseph</v>
      </c>
      <c r="G35" s="9" t="s">
        <v>53</v>
      </c>
      <c r="H35" s="8">
        <v>4</v>
      </c>
      <c r="I35" s="8">
        <v>9500</v>
      </c>
      <c r="J35" s="8">
        <v>7</v>
      </c>
      <c r="K35" s="10">
        <f t="shared" si="1"/>
        <v>7.0000000000000007E-2</v>
      </c>
      <c r="L35" s="8" t="s">
        <v>30</v>
      </c>
      <c r="M35" s="8">
        <f t="shared" si="2"/>
        <v>0</v>
      </c>
      <c r="N35" s="8">
        <f t="shared" si="3"/>
        <v>0</v>
      </c>
      <c r="O35" s="8" t="str">
        <f t="shared" si="4"/>
        <v>Apr-2025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6" t="s">
        <v>101</v>
      </c>
      <c r="B36" s="7">
        <v>45732</v>
      </c>
      <c r="C36" s="8" t="s">
        <v>102</v>
      </c>
      <c r="D36" s="8" t="s">
        <v>27</v>
      </c>
      <c r="E36" s="8" t="s">
        <v>18</v>
      </c>
      <c r="F36" s="8" t="str">
        <f t="shared" si="6"/>
        <v>Neha Sharma</v>
      </c>
      <c r="G36" s="9" t="s">
        <v>19</v>
      </c>
      <c r="H36" s="8">
        <v>2</v>
      </c>
      <c r="I36" s="8">
        <v>12000</v>
      </c>
      <c r="J36" s="8">
        <v>6</v>
      </c>
      <c r="K36" s="10">
        <f t="shared" si="1"/>
        <v>0.06</v>
      </c>
      <c r="L36" s="8" t="s">
        <v>20</v>
      </c>
      <c r="M36" s="8">
        <f t="shared" si="2"/>
        <v>22560</v>
      </c>
      <c r="N36" s="8">
        <f t="shared" si="3"/>
        <v>24000</v>
      </c>
      <c r="O36" s="8" t="str">
        <f t="shared" si="4"/>
        <v>Mar-2025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 x14ac:dyDescent="0.25">
      <c r="A37" s="6" t="s">
        <v>103</v>
      </c>
      <c r="B37" s="11">
        <v>45752</v>
      </c>
      <c r="C37" s="8" t="s">
        <v>104</v>
      </c>
      <c r="D37" s="8" t="s">
        <v>40</v>
      </c>
      <c r="E37" s="8" t="s">
        <v>44</v>
      </c>
      <c r="F37" s="8" t="str">
        <f t="shared" si="6"/>
        <v>Rahul Nair</v>
      </c>
      <c r="G37" s="9" t="s">
        <v>29</v>
      </c>
      <c r="H37" s="8">
        <v>3</v>
      </c>
      <c r="I37" s="8">
        <v>18000</v>
      </c>
      <c r="J37" s="8">
        <v>5</v>
      </c>
      <c r="K37" s="10">
        <f t="shared" si="1"/>
        <v>0.05</v>
      </c>
      <c r="L37" s="8" t="s">
        <v>20</v>
      </c>
      <c r="M37" s="8">
        <f t="shared" si="2"/>
        <v>51300</v>
      </c>
      <c r="N37" s="8">
        <f t="shared" si="3"/>
        <v>54000</v>
      </c>
      <c r="O37" s="8" t="str">
        <f t="shared" si="4"/>
        <v>Apr-2025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6" t="s">
        <v>105</v>
      </c>
      <c r="B38" s="7">
        <v>45714</v>
      </c>
      <c r="C38" s="8" t="s">
        <v>106</v>
      </c>
      <c r="D38" s="8" t="s">
        <v>17</v>
      </c>
      <c r="E38" s="8" t="s">
        <v>18</v>
      </c>
      <c r="F38" s="8" t="str">
        <f t="shared" si="6"/>
        <v>Neha Sharma</v>
      </c>
      <c r="G38" s="9" t="s">
        <v>37</v>
      </c>
      <c r="H38" s="8">
        <v>2</v>
      </c>
      <c r="I38" s="8">
        <v>55000</v>
      </c>
      <c r="J38" s="8">
        <v>7</v>
      </c>
      <c r="K38" s="10">
        <f t="shared" si="1"/>
        <v>7.0000000000000007E-2</v>
      </c>
      <c r="L38" s="8" t="s">
        <v>20</v>
      </c>
      <c r="M38" s="8">
        <f t="shared" si="2"/>
        <v>102300</v>
      </c>
      <c r="N38" s="8">
        <f t="shared" si="3"/>
        <v>110000</v>
      </c>
      <c r="O38" s="8" t="str">
        <f t="shared" si="4"/>
        <v>Feb-2025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 x14ac:dyDescent="0.25">
      <c r="A39" s="6" t="s">
        <v>107</v>
      </c>
      <c r="B39" s="11">
        <v>45724</v>
      </c>
      <c r="C39" s="8" t="s">
        <v>108</v>
      </c>
      <c r="D39" s="8" t="s">
        <v>33</v>
      </c>
      <c r="E39" s="8" t="s">
        <v>41</v>
      </c>
      <c r="F39" s="8" t="str">
        <f t="shared" si="6"/>
        <v>Anita Joseph</v>
      </c>
      <c r="G39" s="9" t="s">
        <v>24</v>
      </c>
      <c r="H39" s="8">
        <v>1</v>
      </c>
      <c r="I39" s="8">
        <v>7500</v>
      </c>
      <c r="J39" s="8">
        <v>4</v>
      </c>
      <c r="K39" s="10">
        <f t="shared" si="1"/>
        <v>0.04</v>
      </c>
      <c r="L39" s="8" t="s">
        <v>20</v>
      </c>
      <c r="M39" s="8">
        <f t="shared" si="2"/>
        <v>7200</v>
      </c>
      <c r="N39" s="8">
        <f t="shared" si="3"/>
        <v>7500</v>
      </c>
      <c r="O39" s="8" t="str">
        <f t="shared" si="4"/>
        <v>Mar-2025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6" t="s">
        <v>109</v>
      </c>
      <c r="B40" s="7">
        <v>45705</v>
      </c>
      <c r="C40" s="8" t="s">
        <v>110</v>
      </c>
      <c r="D40" s="8" t="s">
        <v>27</v>
      </c>
      <c r="E40" s="8" t="s">
        <v>23</v>
      </c>
      <c r="F40" s="8" t="str">
        <f t="shared" si="6"/>
        <v>Riya Gupta</v>
      </c>
      <c r="G40" s="9" t="s">
        <v>53</v>
      </c>
      <c r="H40" s="8">
        <v>2</v>
      </c>
      <c r="I40" s="8">
        <v>9500</v>
      </c>
      <c r="J40" s="8">
        <v>3</v>
      </c>
      <c r="K40" s="10">
        <f t="shared" si="1"/>
        <v>0.03</v>
      </c>
      <c r="L40" s="8" t="s">
        <v>30</v>
      </c>
      <c r="M40" s="8">
        <f t="shared" si="2"/>
        <v>0</v>
      </c>
      <c r="N40" s="8">
        <f t="shared" si="3"/>
        <v>0</v>
      </c>
      <c r="O40" s="8" t="str">
        <f t="shared" si="4"/>
        <v>Feb-2025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 x14ac:dyDescent="0.25">
      <c r="A41" s="6" t="s">
        <v>111</v>
      </c>
      <c r="B41" s="11">
        <v>45748</v>
      </c>
      <c r="C41" s="8" t="s">
        <v>112</v>
      </c>
      <c r="D41" s="8" t="s">
        <v>17</v>
      </c>
      <c r="E41" s="8" t="s">
        <v>18</v>
      </c>
      <c r="F41" s="8" t="str">
        <f t="shared" si="6"/>
        <v>Neha Sharma</v>
      </c>
      <c r="G41" s="9" t="s">
        <v>29</v>
      </c>
      <c r="H41" s="8">
        <v>4</v>
      </c>
      <c r="I41" s="8">
        <v>18000</v>
      </c>
      <c r="J41" s="8">
        <v>8</v>
      </c>
      <c r="K41" s="10">
        <f t="shared" si="1"/>
        <v>0.08</v>
      </c>
      <c r="L41" s="8" t="s">
        <v>20</v>
      </c>
      <c r="M41" s="8">
        <f t="shared" si="2"/>
        <v>66240</v>
      </c>
      <c r="N41" s="8">
        <f t="shared" si="3"/>
        <v>72000</v>
      </c>
      <c r="O41" s="8" t="str">
        <f t="shared" si="4"/>
        <v>Apr-2025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6" t="s">
        <v>113</v>
      </c>
      <c r="B42" s="7">
        <v>45699</v>
      </c>
      <c r="C42" s="8" t="s">
        <v>32</v>
      </c>
      <c r="D42" s="8" t="s">
        <v>33</v>
      </c>
      <c r="E42" s="8" t="s">
        <v>44</v>
      </c>
      <c r="F42" s="8" t="str">
        <f t="shared" si="6"/>
        <v>Rahul Nair</v>
      </c>
      <c r="G42" s="9" t="s">
        <v>19</v>
      </c>
      <c r="H42" s="8">
        <v>3</v>
      </c>
      <c r="I42" s="8">
        <v>12000</v>
      </c>
      <c r="J42" s="8">
        <v>5</v>
      </c>
      <c r="K42" s="10">
        <f t="shared" si="1"/>
        <v>0.05</v>
      </c>
      <c r="L42" s="8" t="s">
        <v>20</v>
      </c>
      <c r="M42" s="8">
        <f t="shared" si="2"/>
        <v>34200</v>
      </c>
      <c r="N42" s="8">
        <f t="shared" si="3"/>
        <v>36000</v>
      </c>
      <c r="O42" s="8" t="str">
        <f t="shared" si="4"/>
        <v>Feb-2025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 x14ac:dyDescent="0.25">
      <c r="A43" s="6" t="s">
        <v>114</v>
      </c>
      <c r="B43" s="11">
        <v>45719</v>
      </c>
      <c r="C43" s="8" t="s">
        <v>115</v>
      </c>
      <c r="D43" s="8" t="s">
        <v>40</v>
      </c>
      <c r="E43" s="8" t="s">
        <v>116</v>
      </c>
      <c r="F43" s="8" t="str">
        <f t="shared" si="6"/>
        <v>Neha Sharma</v>
      </c>
      <c r="G43" s="9" t="s">
        <v>29</v>
      </c>
      <c r="H43" s="8">
        <v>5</v>
      </c>
      <c r="I43" s="8">
        <v>18000</v>
      </c>
      <c r="J43" s="8">
        <v>6</v>
      </c>
      <c r="K43" s="10">
        <f t="shared" si="1"/>
        <v>0.06</v>
      </c>
      <c r="L43" s="8" t="s">
        <v>49</v>
      </c>
      <c r="M43" s="8">
        <f t="shared" si="2"/>
        <v>0</v>
      </c>
      <c r="N43" s="8">
        <f t="shared" si="3"/>
        <v>0</v>
      </c>
      <c r="O43" s="8" t="str">
        <f t="shared" si="4"/>
        <v>Mar-2025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6" t="s">
        <v>117</v>
      </c>
      <c r="B44" s="7">
        <v>45745</v>
      </c>
      <c r="C44" s="8" t="s">
        <v>118</v>
      </c>
      <c r="D44" s="8" t="s">
        <v>27</v>
      </c>
      <c r="E44" s="8" t="s">
        <v>36</v>
      </c>
      <c r="F44" s="8" t="str">
        <f t="shared" si="6"/>
        <v>Srikanth Verma</v>
      </c>
      <c r="G44" s="9" t="s">
        <v>37</v>
      </c>
      <c r="H44" s="8">
        <v>2</v>
      </c>
      <c r="I44" s="8">
        <v>55000</v>
      </c>
      <c r="J44" s="8">
        <v>5</v>
      </c>
      <c r="K44" s="10">
        <f t="shared" si="1"/>
        <v>0.05</v>
      </c>
      <c r="L44" s="8" t="s">
        <v>20</v>
      </c>
      <c r="M44" s="8">
        <f t="shared" si="2"/>
        <v>104500</v>
      </c>
      <c r="N44" s="8">
        <f t="shared" si="3"/>
        <v>110000</v>
      </c>
      <c r="O44" s="8" t="str">
        <f t="shared" si="4"/>
        <v>Mar-2025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 x14ac:dyDescent="0.25">
      <c r="A45" s="6" t="s">
        <v>119</v>
      </c>
      <c r="B45" s="11">
        <v>45753</v>
      </c>
      <c r="C45" s="8" t="s">
        <v>120</v>
      </c>
      <c r="D45" s="8" t="s">
        <v>17</v>
      </c>
      <c r="E45" s="8" t="s">
        <v>70</v>
      </c>
      <c r="F45" s="8" t="str">
        <f t="shared" si="6"/>
        <v>Anita Joseph</v>
      </c>
      <c r="G45" s="9" t="s">
        <v>24</v>
      </c>
      <c r="H45" s="8">
        <v>2</v>
      </c>
      <c r="I45" s="8">
        <v>7500</v>
      </c>
      <c r="J45" s="8">
        <v>6</v>
      </c>
      <c r="K45" s="10">
        <f t="shared" si="1"/>
        <v>0.06</v>
      </c>
      <c r="L45" s="8" t="s">
        <v>20</v>
      </c>
      <c r="M45" s="8">
        <f t="shared" si="2"/>
        <v>14100</v>
      </c>
      <c r="N45" s="8">
        <f t="shared" si="3"/>
        <v>15000</v>
      </c>
      <c r="O45" s="8" t="str">
        <f t="shared" si="4"/>
        <v>Apr-2025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6" t="s">
        <v>121</v>
      </c>
      <c r="B46" s="7">
        <v>45711</v>
      </c>
      <c r="C46" s="8" t="s">
        <v>122</v>
      </c>
      <c r="D46" s="8" t="s">
        <v>33</v>
      </c>
      <c r="E46" s="8" t="s">
        <v>44</v>
      </c>
      <c r="F46" s="8" t="str">
        <f t="shared" si="6"/>
        <v>Rahul Nair</v>
      </c>
      <c r="G46" s="9" t="s">
        <v>29</v>
      </c>
      <c r="H46" s="8">
        <v>4</v>
      </c>
      <c r="I46" s="8">
        <v>18000</v>
      </c>
      <c r="J46" s="8">
        <v>8</v>
      </c>
      <c r="K46" s="10">
        <f t="shared" si="1"/>
        <v>0.08</v>
      </c>
      <c r="L46" s="8" t="s">
        <v>20</v>
      </c>
      <c r="M46" s="8">
        <f t="shared" si="2"/>
        <v>66240</v>
      </c>
      <c r="N46" s="8">
        <f t="shared" si="3"/>
        <v>72000</v>
      </c>
      <c r="O46" s="8" t="str">
        <f t="shared" si="4"/>
        <v>Feb-2025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 x14ac:dyDescent="0.25">
      <c r="A47" s="6" t="s">
        <v>123</v>
      </c>
      <c r="B47" s="7">
        <v>45715</v>
      </c>
      <c r="C47" s="8" t="s">
        <v>124</v>
      </c>
      <c r="D47" s="8" t="s">
        <v>33</v>
      </c>
      <c r="E47" s="8" t="s">
        <v>44</v>
      </c>
      <c r="F47" s="8" t="str">
        <f t="shared" si="6"/>
        <v>Rahul Nair</v>
      </c>
      <c r="G47" s="9" t="s">
        <v>19</v>
      </c>
      <c r="H47" s="8">
        <v>2</v>
      </c>
      <c r="I47" s="8">
        <v>12000</v>
      </c>
      <c r="J47" s="8">
        <v>6</v>
      </c>
      <c r="K47" s="10">
        <f t="shared" si="1"/>
        <v>0.06</v>
      </c>
      <c r="L47" s="8" t="s">
        <v>20</v>
      </c>
      <c r="M47" s="8">
        <f t="shared" si="2"/>
        <v>22560</v>
      </c>
      <c r="N47" s="8">
        <f t="shared" si="3"/>
        <v>24000</v>
      </c>
      <c r="O47" s="8" t="str">
        <f t="shared" si="4"/>
        <v>Feb-2025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6" t="s">
        <v>125</v>
      </c>
      <c r="B48" s="7">
        <v>45747</v>
      </c>
      <c r="C48" s="8" t="s">
        <v>126</v>
      </c>
      <c r="D48" s="8" t="s">
        <v>40</v>
      </c>
      <c r="E48" s="8" t="s">
        <v>18</v>
      </c>
      <c r="F48" s="8" t="str">
        <f t="shared" si="6"/>
        <v>Neha Sharma</v>
      </c>
      <c r="G48" s="9" t="s">
        <v>19</v>
      </c>
      <c r="H48" s="8">
        <v>2</v>
      </c>
      <c r="I48" s="8">
        <v>12000</v>
      </c>
      <c r="J48" s="8">
        <v>5</v>
      </c>
      <c r="K48" s="10">
        <f t="shared" si="1"/>
        <v>0.05</v>
      </c>
      <c r="L48" s="8" t="s">
        <v>20</v>
      </c>
      <c r="M48" s="8">
        <f t="shared" si="2"/>
        <v>22800</v>
      </c>
      <c r="N48" s="8">
        <f t="shared" si="3"/>
        <v>24000</v>
      </c>
      <c r="O48" s="8" t="str">
        <f t="shared" si="4"/>
        <v>Mar-2025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 x14ac:dyDescent="0.25">
      <c r="A49" s="6" t="s">
        <v>127</v>
      </c>
      <c r="B49" s="7">
        <v>45702</v>
      </c>
      <c r="C49" s="8" t="s">
        <v>26</v>
      </c>
      <c r="D49" s="8" t="s">
        <v>27</v>
      </c>
      <c r="E49" s="8" t="s">
        <v>44</v>
      </c>
      <c r="F49" s="8" t="str">
        <f t="shared" si="6"/>
        <v>Rahul Nair</v>
      </c>
      <c r="G49" s="9" t="s">
        <v>37</v>
      </c>
      <c r="H49" s="8">
        <v>5</v>
      </c>
      <c r="I49" s="8">
        <v>55000</v>
      </c>
      <c r="J49" s="8">
        <v>7</v>
      </c>
      <c r="K49" s="10">
        <f t="shared" si="1"/>
        <v>7.0000000000000007E-2</v>
      </c>
      <c r="L49" s="8" t="s">
        <v>20</v>
      </c>
      <c r="M49" s="8">
        <f t="shared" si="2"/>
        <v>255749.99999999997</v>
      </c>
      <c r="N49" s="8">
        <f t="shared" si="3"/>
        <v>275000</v>
      </c>
      <c r="O49" s="8" t="str">
        <f t="shared" si="4"/>
        <v>Feb-2025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6" t="s">
        <v>128</v>
      </c>
      <c r="B50" s="7">
        <v>45716</v>
      </c>
      <c r="C50" s="8" t="s">
        <v>129</v>
      </c>
      <c r="D50" s="8" t="s">
        <v>17</v>
      </c>
      <c r="E50" s="8" t="s">
        <v>23</v>
      </c>
      <c r="F50" s="8" t="str">
        <f t="shared" si="6"/>
        <v>Riya Gupta</v>
      </c>
      <c r="G50" s="9" t="s">
        <v>53</v>
      </c>
      <c r="H50" s="8">
        <v>3</v>
      </c>
      <c r="I50" s="8">
        <v>9500</v>
      </c>
      <c r="J50" s="8">
        <v>4</v>
      </c>
      <c r="K50" s="10">
        <f t="shared" si="1"/>
        <v>0.04</v>
      </c>
      <c r="L50" s="8" t="s">
        <v>20</v>
      </c>
      <c r="M50" s="8">
        <f t="shared" si="2"/>
        <v>27360</v>
      </c>
      <c r="N50" s="8">
        <f t="shared" si="3"/>
        <v>28500</v>
      </c>
      <c r="O50" s="8" t="str">
        <f t="shared" si="4"/>
        <v>Feb-2025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 x14ac:dyDescent="0.25">
      <c r="A51" s="6" t="s">
        <v>130</v>
      </c>
      <c r="B51" s="7">
        <v>45737</v>
      </c>
      <c r="C51" s="8" t="s">
        <v>131</v>
      </c>
      <c r="D51" s="8" t="s">
        <v>33</v>
      </c>
      <c r="E51" s="8" t="s">
        <v>18</v>
      </c>
      <c r="F51" s="8" t="str">
        <f t="shared" si="6"/>
        <v>Neha Sharma</v>
      </c>
      <c r="G51" s="9" t="s">
        <v>29</v>
      </c>
      <c r="H51" s="8">
        <v>6</v>
      </c>
      <c r="I51" s="8">
        <v>18000</v>
      </c>
      <c r="J51" s="8">
        <v>5</v>
      </c>
      <c r="K51" s="10">
        <f t="shared" si="1"/>
        <v>0.05</v>
      </c>
      <c r="L51" s="8" t="s">
        <v>20</v>
      </c>
      <c r="M51" s="8">
        <f t="shared" si="2"/>
        <v>102600</v>
      </c>
      <c r="N51" s="8">
        <f t="shared" si="3"/>
        <v>108000</v>
      </c>
      <c r="O51" s="8" t="str">
        <f t="shared" si="4"/>
        <v>Mar-2025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6" t="s">
        <v>132</v>
      </c>
      <c r="B52" s="11">
        <v>45721</v>
      </c>
      <c r="C52" s="8" t="s">
        <v>133</v>
      </c>
      <c r="D52" s="8" t="s">
        <v>40</v>
      </c>
      <c r="E52" s="8" t="s">
        <v>41</v>
      </c>
      <c r="F52" s="8" t="str">
        <f t="shared" si="6"/>
        <v>Anita Joseph</v>
      </c>
      <c r="G52" s="9" t="s">
        <v>37</v>
      </c>
      <c r="H52" s="8">
        <v>1</v>
      </c>
      <c r="I52" s="8">
        <v>55000</v>
      </c>
      <c r="J52" s="8">
        <v>6</v>
      </c>
      <c r="K52" s="10">
        <f t="shared" si="1"/>
        <v>0.06</v>
      </c>
      <c r="L52" s="8" t="s">
        <v>20</v>
      </c>
      <c r="M52" s="8">
        <f t="shared" si="2"/>
        <v>51700</v>
      </c>
      <c r="N52" s="8">
        <f t="shared" si="3"/>
        <v>55000</v>
      </c>
      <c r="O52" s="8" t="str">
        <f t="shared" si="4"/>
        <v>Mar-2025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 x14ac:dyDescent="0.25">
      <c r="A53" s="6" t="s">
        <v>134</v>
      </c>
      <c r="B53" s="7">
        <v>45759</v>
      </c>
      <c r="C53" s="8" t="s">
        <v>22</v>
      </c>
      <c r="D53" s="8" t="s">
        <v>17</v>
      </c>
      <c r="E53" s="8" t="s">
        <v>116</v>
      </c>
      <c r="F53" s="8" t="str">
        <f t="shared" si="6"/>
        <v>Neha Sharma</v>
      </c>
      <c r="G53" s="9" t="s">
        <v>29</v>
      </c>
      <c r="H53" s="8">
        <v>5</v>
      </c>
      <c r="I53" s="8">
        <v>18000</v>
      </c>
      <c r="J53" s="8">
        <v>3</v>
      </c>
      <c r="K53" s="10">
        <f t="shared" si="1"/>
        <v>0.03</v>
      </c>
      <c r="L53" s="8" t="s">
        <v>20</v>
      </c>
      <c r="M53" s="8">
        <f t="shared" si="2"/>
        <v>87300</v>
      </c>
      <c r="N53" s="8">
        <f t="shared" si="3"/>
        <v>90000</v>
      </c>
      <c r="O53" s="8" t="str">
        <f t="shared" si="4"/>
        <v>Apr-2025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6" t="s">
        <v>135</v>
      </c>
      <c r="B54" s="7">
        <v>45772</v>
      </c>
      <c r="C54" s="8" t="s">
        <v>136</v>
      </c>
      <c r="D54" s="8" t="s">
        <v>33</v>
      </c>
      <c r="E54" s="8" t="s">
        <v>44</v>
      </c>
      <c r="F54" s="8" t="str">
        <f t="shared" si="6"/>
        <v>Rahul Nair</v>
      </c>
      <c r="G54" s="9" t="s">
        <v>19</v>
      </c>
      <c r="H54" s="8">
        <v>1</v>
      </c>
      <c r="I54" s="8">
        <v>12000</v>
      </c>
      <c r="J54" s="8">
        <v>5</v>
      </c>
      <c r="K54" s="10">
        <f t="shared" si="1"/>
        <v>0.05</v>
      </c>
      <c r="L54" s="8" t="s">
        <v>20</v>
      </c>
      <c r="M54" s="8">
        <f t="shared" si="2"/>
        <v>11400</v>
      </c>
      <c r="N54" s="8">
        <f t="shared" si="3"/>
        <v>12000</v>
      </c>
      <c r="O54" s="8" t="str">
        <f t="shared" si="4"/>
        <v>Apr-2025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 x14ac:dyDescent="0.25">
      <c r="A55" s="6" t="s">
        <v>137</v>
      </c>
      <c r="B55" s="11">
        <v>45696</v>
      </c>
      <c r="C55" s="8" t="s">
        <v>46</v>
      </c>
      <c r="D55" s="8" t="s">
        <v>40</v>
      </c>
      <c r="E55" s="8" t="s">
        <v>41</v>
      </c>
      <c r="F55" s="8" t="str">
        <f t="shared" si="6"/>
        <v>Anita Joseph</v>
      </c>
      <c r="G55" s="9" t="s">
        <v>29</v>
      </c>
      <c r="H55" s="8">
        <v>6</v>
      </c>
      <c r="I55" s="8">
        <v>18000</v>
      </c>
      <c r="J55" s="8">
        <v>8</v>
      </c>
      <c r="K55" s="10">
        <f t="shared" si="1"/>
        <v>0.08</v>
      </c>
      <c r="L55" s="8" t="s">
        <v>20</v>
      </c>
      <c r="M55" s="8">
        <f t="shared" si="2"/>
        <v>99360</v>
      </c>
      <c r="N55" s="8">
        <f t="shared" si="3"/>
        <v>108000</v>
      </c>
      <c r="O55" s="8" t="str">
        <f t="shared" si="4"/>
        <v>Feb-2025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6" t="s">
        <v>138</v>
      </c>
      <c r="B56" s="7">
        <v>45735</v>
      </c>
      <c r="C56" s="8" t="s">
        <v>139</v>
      </c>
      <c r="D56" s="8" t="s">
        <v>17</v>
      </c>
      <c r="E56" s="8" t="s">
        <v>18</v>
      </c>
      <c r="F56" s="8" t="str">
        <f t="shared" si="6"/>
        <v>Neha Sharma</v>
      </c>
      <c r="G56" s="9" t="s">
        <v>53</v>
      </c>
      <c r="H56" s="8">
        <v>2</v>
      </c>
      <c r="I56" s="8">
        <v>9500</v>
      </c>
      <c r="J56" s="8">
        <v>6</v>
      </c>
      <c r="K56" s="10">
        <f t="shared" si="1"/>
        <v>0.06</v>
      </c>
      <c r="L56" s="8" t="s">
        <v>20</v>
      </c>
      <c r="M56" s="8">
        <f t="shared" si="2"/>
        <v>17860</v>
      </c>
      <c r="N56" s="8">
        <f t="shared" si="3"/>
        <v>19000</v>
      </c>
      <c r="O56" s="8" t="str">
        <f t="shared" si="4"/>
        <v>Mar-2025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 x14ac:dyDescent="0.25">
      <c r="A57" s="6" t="s">
        <v>140</v>
      </c>
      <c r="B57" s="11">
        <v>45718</v>
      </c>
      <c r="C57" s="8" t="s">
        <v>141</v>
      </c>
      <c r="D57" s="8" t="s">
        <v>33</v>
      </c>
      <c r="E57" s="8" t="s">
        <v>23</v>
      </c>
      <c r="F57" s="8" t="str">
        <f t="shared" si="6"/>
        <v>Riya Gupta</v>
      </c>
      <c r="G57" s="9" t="s">
        <v>24</v>
      </c>
      <c r="H57" s="8">
        <v>6</v>
      </c>
      <c r="I57" s="8">
        <v>7500</v>
      </c>
      <c r="J57" s="8">
        <v>5</v>
      </c>
      <c r="K57" s="10">
        <f t="shared" si="1"/>
        <v>0.05</v>
      </c>
      <c r="L57" s="8" t="s">
        <v>30</v>
      </c>
      <c r="M57" s="8">
        <f t="shared" si="2"/>
        <v>0</v>
      </c>
      <c r="N57" s="8">
        <f t="shared" si="3"/>
        <v>0</v>
      </c>
      <c r="O57" s="8" t="str">
        <f t="shared" si="4"/>
        <v>Mar-2025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6" t="s">
        <v>142</v>
      </c>
      <c r="B58" s="11">
        <v>45756</v>
      </c>
      <c r="C58" s="8" t="s">
        <v>18</v>
      </c>
      <c r="D58" s="8" t="s">
        <v>27</v>
      </c>
      <c r="E58" s="8" t="s">
        <v>44</v>
      </c>
      <c r="F58" s="8" t="str">
        <f t="shared" si="6"/>
        <v>Rahul Nair</v>
      </c>
      <c r="G58" s="9" t="s">
        <v>29</v>
      </c>
      <c r="H58" s="8">
        <v>4</v>
      </c>
      <c r="I58" s="8">
        <v>18000</v>
      </c>
      <c r="J58" s="8">
        <v>6</v>
      </c>
      <c r="K58" s="10">
        <f t="shared" si="1"/>
        <v>0.06</v>
      </c>
      <c r="L58" s="8" t="s">
        <v>20</v>
      </c>
      <c r="M58" s="8">
        <f t="shared" si="2"/>
        <v>67680</v>
      </c>
      <c r="N58" s="8">
        <f t="shared" si="3"/>
        <v>72000</v>
      </c>
      <c r="O58" s="8" t="str">
        <f t="shared" si="4"/>
        <v>Apr-2025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 x14ac:dyDescent="0.25">
      <c r="A59" s="6" t="s">
        <v>143</v>
      </c>
      <c r="B59" s="7">
        <v>45705</v>
      </c>
      <c r="C59" s="8" t="s">
        <v>61</v>
      </c>
      <c r="D59" s="8" t="s">
        <v>17</v>
      </c>
      <c r="E59" s="8" t="s">
        <v>18</v>
      </c>
      <c r="F59" s="8" t="str">
        <f t="shared" si="6"/>
        <v>Neha Sharma</v>
      </c>
      <c r="G59" s="9" t="s">
        <v>19</v>
      </c>
      <c r="H59" s="8">
        <v>2</v>
      </c>
      <c r="I59" s="8">
        <v>12000</v>
      </c>
      <c r="J59" s="8">
        <v>4</v>
      </c>
      <c r="K59" s="10">
        <f t="shared" si="1"/>
        <v>0.04</v>
      </c>
      <c r="L59" s="8" t="s">
        <v>20</v>
      </c>
      <c r="M59" s="8">
        <f t="shared" si="2"/>
        <v>23040</v>
      </c>
      <c r="N59" s="8">
        <f t="shared" si="3"/>
        <v>24000</v>
      </c>
      <c r="O59" s="8" t="str">
        <f t="shared" si="4"/>
        <v>Feb-2025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6" t="s">
        <v>144</v>
      </c>
      <c r="B60" s="7">
        <v>45708</v>
      </c>
      <c r="C60" s="8" t="s">
        <v>55</v>
      </c>
      <c r="D60" s="8" t="s">
        <v>33</v>
      </c>
      <c r="E60" s="8" t="s">
        <v>41</v>
      </c>
      <c r="F60" s="8" t="str">
        <f t="shared" si="6"/>
        <v>Anita Joseph</v>
      </c>
      <c r="G60" s="9" t="s">
        <v>37</v>
      </c>
      <c r="H60" s="8">
        <v>3</v>
      </c>
      <c r="I60" s="8">
        <v>55000</v>
      </c>
      <c r="J60" s="8">
        <v>6</v>
      </c>
      <c r="K60" s="10">
        <f t="shared" si="1"/>
        <v>0.06</v>
      </c>
      <c r="L60" s="8" t="s">
        <v>20</v>
      </c>
      <c r="M60" s="8">
        <f t="shared" si="2"/>
        <v>155100</v>
      </c>
      <c r="N60" s="8">
        <f t="shared" si="3"/>
        <v>165000</v>
      </c>
      <c r="O60" s="8" t="str">
        <f t="shared" si="4"/>
        <v>Feb-2025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 x14ac:dyDescent="0.25">
      <c r="A61" s="6" t="s">
        <v>145</v>
      </c>
      <c r="B61" s="7">
        <v>45740</v>
      </c>
      <c r="C61" s="8" t="s">
        <v>146</v>
      </c>
      <c r="D61" s="8" t="s">
        <v>40</v>
      </c>
      <c r="E61" s="8" t="s">
        <v>44</v>
      </c>
      <c r="F61" s="8" t="str">
        <f t="shared" si="6"/>
        <v>Rahul Nair</v>
      </c>
      <c r="G61" s="9" t="s">
        <v>53</v>
      </c>
      <c r="H61" s="8">
        <v>1</v>
      </c>
      <c r="I61" s="8">
        <v>9500</v>
      </c>
      <c r="J61" s="8">
        <v>3</v>
      </c>
      <c r="K61" s="10">
        <f t="shared" si="1"/>
        <v>0.03</v>
      </c>
      <c r="L61" s="8" t="s">
        <v>20</v>
      </c>
      <c r="M61" s="8">
        <f t="shared" si="2"/>
        <v>9215</v>
      </c>
      <c r="N61" s="8">
        <f t="shared" si="3"/>
        <v>9500</v>
      </c>
      <c r="O61" s="8" t="str">
        <f t="shared" si="4"/>
        <v>Mar-2025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6" t="s">
        <v>147</v>
      </c>
      <c r="B62" s="7">
        <v>45701</v>
      </c>
      <c r="C62" s="8" t="s">
        <v>52</v>
      </c>
      <c r="D62" s="8" t="s">
        <v>17</v>
      </c>
      <c r="E62" s="8" t="s">
        <v>18</v>
      </c>
      <c r="F62" s="8" t="str">
        <f t="shared" si="6"/>
        <v>Neha Sharma</v>
      </c>
      <c r="G62" s="9" t="s">
        <v>29</v>
      </c>
      <c r="H62" s="8">
        <v>2</v>
      </c>
      <c r="I62" s="8">
        <v>18000</v>
      </c>
      <c r="J62" s="8">
        <v>5</v>
      </c>
      <c r="K62" s="10">
        <f t="shared" si="1"/>
        <v>0.05</v>
      </c>
      <c r="L62" s="8" t="s">
        <v>20</v>
      </c>
      <c r="M62" s="8">
        <f t="shared" si="2"/>
        <v>34200</v>
      </c>
      <c r="N62" s="8">
        <f t="shared" si="3"/>
        <v>36000</v>
      </c>
      <c r="O62" s="8" t="str">
        <f t="shared" si="4"/>
        <v>Feb-2025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 x14ac:dyDescent="0.25">
      <c r="A63" s="6" t="s">
        <v>148</v>
      </c>
      <c r="B63" s="11">
        <v>45749</v>
      </c>
      <c r="C63" s="8" t="s">
        <v>76</v>
      </c>
      <c r="D63" s="8" t="s">
        <v>27</v>
      </c>
      <c r="E63" s="8" t="s">
        <v>41</v>
      </c>
      <c r="F63" s="8" t="str">
        <f t="shared" si="6"/>
        <v>Anita Joseph</v>
      </c>
      <c r="G63" s="9" t="s">
        <v>19</v>
      </c>
      <c r="H63" s="8">
        <v>3</v>
      </c>
      <c r="I63" s="8">
        <v>12000</v>
      </c>
      <c r="J63" s="8">
        <v>5</v>
      </c>
      <c r="K63" s="10">
        <f t="shared" si="1"/>
        <v>0.05</v>
      </c>
      <c r="L63" s="8" t="s">
        <v>20</v>
      </c>
      <c r="M63" s="8">
        <f t="shared" si="2"/>
        <v>34200</v>
      </c>
      <c r="N63" s="8">
        <f t="shared" si="3"/>
        <v>36000</v>
      </c>
      <c r="O63" s="8" t="str">
        <f t="shared" si="4"/>
        <v>Apr-2025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6" t="s">
        <v>149</v>
      </c>
      <c r="B64" s="7">
        <v>45762</v>
      </c>
      <c r="C64" s="8" t="s">
        <v>150</v>
      </c>
      <c r="D64" s="8" t="s">
        <v>33</v>
      </c>
      <c r="E64" s="8" t="s">
        <v>44</v>
      </c>
      <c r="F64" s="8" t="str">
        <f t="shared" si="6"/>
        <v>Rahul Nair</v>
      </c>
      <c r="G64" s="9" t="s">
        <v>37</v>
      </c>
      <c r="H64" s="8">
        <v>1</v>
      </c>
      <c r="I64" s="8">
        <v>55000</v>
      </c>
      <c r="J64" s="8">
        <v>6</v>
      </c>
      <c r="K64" s="10">
        <f t="shared" si="1"/>
        <v>0.06</v>
      </c>
      <c r="L64" s="8" t="s">
        <v>20</v>
      </c>
      <c r="M64" s="8">
        <f t="shared" si="2"/>
        <v>51700</v>
      </c>
      <c r="N64" s="8">
        <f t="shared" si="3"/>
        <v>55000</v>
      </c>
      <c r="O64" s="8" t="str">
        <f t="shared" si="4"/>
        <v>Apr-2025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 x14ac:dyDescent="0.25">
      <c r="A65" s="6" t="s">
        <v>151</v>
      </c>
      <c r="B65" s="7">
        <v>45715</v>
      </c>
      <c r="C65" s="8" t="s">
        <v>152</v>
      </c>
      <c r="D65" s="8" t="s">
        <v>40</v>
      </c>
      <c r="E65" s="8" t="s">
        <v>18</v>
      </c>
      <c r="F65" s="8" t="str">
        <f t="shared" si="6"/>
        <v>Neha Sharma</v>
      </c>
      <c r="G65" s="9" t="s">
        <v>29</v>
      </c>
      <c r="H65" s="8">
        <v>2</v>
      </c>
      <c r="I65" s="8">
        <v>18000</v>
      </c>
      <c r="J65" s="8">
        <v>4</v>
      </c>
      <c r="K65" s="10">
        <f t="shared" si="1"/>
        <v>0.04</v>
      </c>
      <c r="L65" s="8" t="s">
        <v>20</v>
      </c>
      <c r="M65" s="8">
        <f t="shared" si="2"/>
        <v>34560</v>
      </c>
      <c r="N65" s="8">
        <f t="shared" si="3"/>
        <v>36000</v>
      </c>
      <c r="O65" s="8" t="str">
        <f t="shared" si="4"/>
        <v>Feb-2025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6" t="s">
        <v>153</v>
      </c>
      <c r="B66" s="7">
        <v>45726</v>
      </c>
      <c r="C66" s="8" t="s">
        <v>154</v>
      </c>
      <c r="D66" s="8" t="s">
        <v>17</v>
      </c>
      <c r="E66" s="8" t="s">
        <v>44</v>
      </c>
      <c r="F66" s="8" t="str">
        <f t="shared" si="6"/>
        <v>Rahul Nair</v>
      </c>
      <c r="G66" s="9" t="s">
        <v>24</v>
      </c>
      <c r="H66" s="8">
        <v>3</v>
      </c>
      <c r="I66" s="8">
        <v>7500</v>
      </c>
      <c r="J66" s="8">
        <v>5</v>
      </c>
      <c r="K66" s="10">
        <f t="shared" si="1"/>
        <v>0.05</v>
      </c>
      <c r="L66" s="8" t="s">
        <v>30</v>
      </c>
      <c r="M66" s="8">
        <f t="shared" si="2"/>
        <v>0</v>
      </c>
      <c r="N66" s="8">
        <f t="shared" si="3"/>
        <v>0</v>
      </c>
      <c r="O66" s="8" t="str">
        <f t="shared" si="4"/>
        <v>Mar-2025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 x14ac:dyDescent="0.25">
      <c r="A67" s="6" t="s">
        <v>155</v>
      </c>
      <c r="B67" s="7">
        <v>45765</v>
      </c>
      <c r="C67" s="8" t="s">
        <v>26</v>
      </c>
      <c r="D67" s="8" t="s">
        <v>27</v>
      </c>
      <c r="E67" s="8" t="s">
        <v>116</v>
      </c>
      <c r="F67" s="8" t="str">
        <f t="shared" si="6"/>
        <v>Neha Sharma</v>
      </c>
      <c r="G67" s="9" t="s">
        <v>19</v>
      </c>
      <c r="H67" s="8">
        <v>4</v>
      </c>
      <c r="I67" s="8">
        <v>12000</v>
      </c>
      <c r="J67" s="8">
        <v>7</v>
      </c>
      <c r="K67" s="10">
        <f t="shared" si="1"/>
        <v>7.0000000000000007E-2</v>
      </c>
      <c r="L67" s="8" t="s">
        <v>20</v>
      </c>
      <c r="M67" s="8">
        <f t="shared" si="2"/>
        <v>44640</v>
      </c>
      <c r="N67" s="8">
        <f t="shared" si="3"/>
        <v>48000</v>
      </c>
      <c r="O67" s="8" t="str">
        <f t="shared" ref="O67:O125" si="7">TEXT(B67,"mmm-yyy")</f>
        <v>Apr-2025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6" t="s">
        <v>156</v>
      </c>
      <c r="B68" s="11">
        <v>45751</v>
      </c>
      <c r="C68" s="8" t="s">
        <v>157</v>
      </c>
      <c r="D68" s="8" t="s">
        <v>33</v>
      </c>
      <c r="E68" s="8" t="s">
        <v>41</v>
      </c>
      <c r="F68" s="8" t="str">
        <f t="shared" si="6"/>
        <v>Anita Joseph</v>
      </c>
      <c r="G68" s="9" t="s">
        <v>29</v>
      </c>
      <c r="H68" s="8">
        <v>6</v>
      </c>
      <c r="I68" s="8">
        <v>18000</v>
      </c>
      <c r="J68" s="8">
        <v>8</v>
      </c>
      <c r="K68" s="10">
        <f t="shared" si="1"/>
        <v>0.08</v>
      </c>
      <c r="L68" s="8" t="s">
        <v>30</v>
      </c>
      <c r="M68" s="8">
        <f t="shared" si="2"/>
        <v>0</v>
      </c>
      <c r="N68" s="8">
        <f t="shared" si="3"/>
        <v>0</v>
      </c>
      <c r="O68" s="8" t="str">
        <f t="shared" si="7"/>
        <v>Apr-2025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 x14ac:dyDescent="0.25">
      <c r="A69" s="6" t="s">
        <v>158</v>
      </c>
      <c r="B69" s="7">
        <v>45710</v>
      </c>
      <c r="C69" s="8" t="s">
        <v>65</v>
      </c>
      <c r="D69" s="8" t="s">
        <v>40</v>
      </c>
      <c r="E69" s="8" t="s">
        <v>23</v>
      </c>
      <c r="F69" s="8" t="str">
        <f t="shared" si="6"/>
        <v>Riya Gupta</v>
      </c>
      <c r="G69" s="9" t="s">
        <v>53</v>
      </c>
      <c r="H69" s="8">
        <v>2</v>
      </c>
      <c r="I69" s="8">
        <v>9500</v>
      </c>
      <c r="J69" s="8">
        <v>6</v>
      </c>
      <c r="K69" s="10">
        <f t="shared" si="1"/>
        <v>0.06</v>
      </c>
      <c r="L69" s="8" t="s">
        <v>20</v>
      </c>
      <c r="M69" s="8">
        <f t="shared" si="2"/>
        <v>17860</v>
      </c>
      <c r="N69" s="8">
        <f t="shared" si="3"/>
        <v>19000</v>
      </c>
      <c r="O69" s="8" t="str">
        <f t="shared" si="7"/>
        <v>Feb-2025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6" t="s">
        <v>159</v>
      </c>
      <c r="B70" s="11">
        <v>45719</v>
      </c>
      <c r="C70" s="8" t="s">
        <v>39</v>
      </c>
      <c r="D70" s="8" t="s">
        <v>17</v>
      </c>
      <c r="E70" s="8" t="s">
        <v>44</v>
      </c>
      <c r="F70" s="8" t="str">
        <f t="shared" si="6"/>
        <v>Rahul Nair</v>
      </c>
      <c r="G70" s="9" t="s">
        <v>37</v>
      </c>
      <c r="H70" s="8">
        <v>1</v>
      </c>
      <c r="I70" s="13" t="s">
        <v>160</v>
      </c>
      <c r="J70" s="8">
        <v>6</v>
      </c>
      <c r="K70" s="10">
        <f t="shared" si="1"/>
        <v>0.06</v>
      </c>
      <c r="L70" s="8" t="s">
        <v>20</v>
      </c>
      <c r="M70" s="8">
        <f t="shared" si="2"/>
        <v>51700</v>
      </c>
      <c r="N70" s="8">
        <f t="shared" si="3"/>
        <v>55000</v>
      </c>
      <c r="O70" s="8" t="str">
        <f t="shared" si="7"/>
        <v>Mar-2025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 x14ac:dyDescent="0.25">
      <c r="A71" s="6" t="s">
        <v>161</v>
      </c>
      <c r="B71" s="11">
        <v>45754</v>
      </c>
      <c r="C71" s="8" t="s">
        <v>133</v>
      </c>
      <c r="D71" s="8" t="s">
        <v>33</v>
      </c>
      <c r="E71" s="8" t="s">
        <v>18</v>
      </c>
      <c r="F71" s="8" t="str">
        <f t="shared" si="6"/>
        <v>Neha Sharma</v>
      </c>
      <c r="G71" s="9" t="s">
        <v>19</v>
      </c>
      <c r="H71" s="8">
        <v>2</v>
      </c>
      <c r="I71" s="8">
        <v>12000</v>
      </c>
      <c r="J71" s="8">
        <v>3</v>
      </c>
      <c r="K71" s="10">
        <f t="shared" si="1"/>
        <v>0.03</v>
      </c>
      <c r="L71" s="8" t="s">
        <v>20</v>
      </c>
      <c r="M71" s="8">
        <f t="shared" si="2"/>
        <v>23280</v>
      </c>
      <c r="N71" s="8">
        <f t="shared" si="3"/>
        <v>24000</v>
      </c>
      <c r="O71" s="8" t="str">
        <f t="shared" si="7"/>
        <v>Apr-2025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6" t="s">
        <v>162</v>
      </c>
      <c r="B72" s="7">
        <v>45704</v>
      </c>
      <c r="C72" s="8" t="s">
        <v>163</v>
      </c>
      <c r="D72" s="8" t="s">
        <v>17</v>
      </c>
      <c r="E72" s="8" t="s">
        <v>70</v>
      </c>
      <c r="F72" s="8" t="str">
        <f t="shared" si="6"/>
        <v>Anita Joseph</v>
      </c>
      <c r="G72" s="9" t="s">
        <v>29</v>
      </c>
      <c r="H72" s="8">
        <v>3</v>
      </c>
      <c r="I72" s="8">
        <v>18000</v>
      </c>
      <c r="J72" s="8">
        <v>5</v>
      </c>
      <c r="K72" s="10">
        <f t="shared" si="1"/>
        <v>0.05</v>
      </c>
      <c r="L72" s="8" t="s">
        <v>20</v>
      </c>
      <c r="M72" s="8">
        <f t="shared" si="2"/>
        <v>51300</v>
      </c>
      <c r="N72" s="8">
        <f t="shared" si="3"/>
        <v>54000</v>
      </c>
      <c r="O72" s="8" t="str">
        <f t="shared" si="7"/>
        <v>Feb-2025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 x14ac:dyDescent="0.25">
      <c r="A73" s="6" t="s">
        <v>164</v>
      </c>
      <c r="B73" s="7">
        <v>45746</v>
      </c>
      <c r="C73" s="8" t="s">
        <v>100</v>
      </c>
      <c r="D73" s="8" t="s">
        <v>27</v>
      </c>
      <c r="E73" s="8" t="s">
        <v>18</v>
      </c>
      <c r="F73" s="8" t="str">
        <f t="shared" si="6"/>
        <v>Neha Sharma</v>
      </c>
      <c r="G73" s="9" t="s">
        <v>53</v>
      </c>
      <c r="H73" s="8">
        <v>4</v>
      </c>
      <c r="I73" s="8">
        <v>9500</v>
      </c>
      <c r="J73" s="8">
        <v>7</v>
      </c>
      <c r="K73" s="10">
        <f t="shared" si="1"/>
        <v>7.0000000000000007E-2</v>
      </c>
      <c r="L73" s="8" t="s">
        <v>20</v>
      </c>
      <c r="M73" s="8">
        <f t="shared" si="2"/>
        <v>35340</v>
      </c>
      <c r="N73" s="8">
        <f t="shared" si="3"/>
        <v>38000</v>
      </c>
      <c r="O73" s="8" t="str">
        <f t="shared" si="7"/>
        <v>Mar-2025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6" t="s">
        <v>165</v>
      </c>
      <c r="B74" s="7">
        <v>45758</v>
      </c>
      <c r="C74" s="8" t="s">
        <v>166</v>
      </c>
      <c r="D74" s="8" t="s">
        <v>40</v>
      </c>
      <c r="E74" s="8" t="s">
        <v>44</v>
      </c>
      <c r="F74" s="8" t="str">
        <f t="shared" si="6"/>
        <v>Rahul Nair</v>
      </c>
      <c r="G74" s="9" t="s">
        <v>29</v>
      </c>
      <c r="H74" s="8">
        <v>5</v>
      </c>
      <c r="I74" s="8">
        <v>18000</v>
      </c>
      <c r="J74" s="8">
        <v>6</v>
      </c>
      <c r="K74" s="10">
        <f t="shared" si="1"/>
        <v>0.06</v>
      </c>
      <c r="L74" s="8" t="s">
        <v>20</v>
      </c>
      <c r="M74" s="8">
        <f t="shared" si="2"/>
        <v>84600</v>
      </c>
      <c r="N74" s="8">
        <f t="shared" si="3"/>
        <v>90000</v>
      </c>
      <c r="O74" s="8" t="str">
        <f t="shared" si="7"/>
        <v>Apr-2025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 x14ac:dyDescent="0.25">
      <c r="A75" s="6" t="s">
        <v>167</v>
      </c>
      <c r="B75" s="11">
        <v>45721</v>
      </c>
      <c r="C75" s="8" t="s">
        <v>48</v>
      </c>
      <c r="D75" s="8" t="s">
        <v>33</v>
      </c>
      <c r="E75" s="8" t="s">
        <v>116</v>
      </c>
      <c r="F75" s="8" t="str">
        <f t="shared" si="6"/>
        <v>Neha Sharma</v>
      </c>
      <c r="G75" s="9" t="s">
        <v>37</v>
      </c>
      <c r="H75" s="8">
        <v>2</v>
      </c>
      <c r="I75" s="8">
        <v>55000</v>
      </c>
      <c r="J75" s="8">
        <v>5</v>
      </c>
      <c r="K75" s="10">
        <f t="shared" si="1"/>
        <v>0.05</v>
      </c>
      <c r="L75" s="8" t="s">
        <v>49</v>
      </c>
      <c r="M75" s="8">
        <f t="shared" si="2"/>
        <v>0</v>
      </c>
      <c r="N75" s="8">
        <f t="shared" si="3"/>
        <v>0</v>
      </c>
      <c r="O75" s="8" t="str">
        <f t="shared" si="7"/>
        <v>Mar-2025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6" t="s">
        <v>168</v>
      </c>
      <c r="B76" s="7">
        <v>45714</v>
      </c>
      <c r="C76" s="8" t="s">
        <v>63</v>
      </c>
      <c r="D76" s="8" t="s">
        <v>17</v>
      </c>
      <c r="E76" s="8" t="s">
        <v>36</v>
      </c>
      <c r="F76" s="8" t="str">
        <f t="shared" si="6"/>
        <v>Srikanth Verma</v>
      </c>
      <c r="G76" s="9" t="s">
        <v>24</v>
      </c>
      <c r="H76" s="8">
        <v>1</v>
      </c>
      <c r="I76" s="8">
        <v>7500</v>
      </c>
      <c r="J76" s="8">
        <v>3</v>
      </c>
      <c r="K76" s="10">
        <f t="shared" si="1"/>
        <v>0.03</v>
      </c>
      <c r="L76" s="8" t="s">
        <v>20</v>
      </c>
      <c r="M76" s="8">
        <f t="shared" si="2"/>
        <v>7275</v>
      </c>
      <c r="N76" s="8">
        <f t="shared" si="3"/>
        <v>7500</v>
      </c>
      <c r="O76" s="8" t="str">
        <f t="shared" si="7"/>
        <v>Feb-2025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 x14ac:dyDescent="0.25">
      <c r="A77" s="6" t="s">
        <v>169</v>
      </c>
      <c r="B77" s="11">
        <v>45755</v>
      </c>
      <c r="C77" s="8" t="s">
        <v>170</v>
      </c>
      <c r="D77" s="8" t="s">
        <v>27</v>
      </c>
      <c r="E77" s="8" t="s">
        <v>44</v>
      </c>
      <c r="F77" s="8" t="str">
        <f t="shared" si="6"/>
        <v>Rahul Nair</v>
      </c>
      <c r="G77" s="9" t="s">
        <v>19</v>
      </c>
      <c r="H77" s="8">
        <v>1</v>
      </c>
      <c r="I77" s="8">
        <v>12000</v>
      </c>
      <c r="J77" s="8">
        <v>4</v>
      </c>
      <c r="K77" s="10">
        <f t="shared" si="1"/>
        <v>0.04</v>
      </c>
      <c r="L77" s="8" t="s">
        <v>20</v>
      </c>
      <c r="M77" s="8">
        <f t="shared" si="2"/>
        <v>11520</v>
      </c>
      <c r="N77" s="8">
        <f t="shared" si="3"/>
        <v>12000</v>
      </c>
      <c r="O77" s="8" t="str">
        <f t="shared" si="7"/>
        <v>Apr-2025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6" t="s">
        <v>171</v>
      </c>
      <c r="B78" s="7">
        <v>45730</v>
      </c>
      <c r="C78" s="8" t="s">
        <v>92</v>
      </c>
      <c r="D78" s="8" t="s">
        <v>40</v>
      </c>
      <c r="E78" s="8" t="s">
        <v>172</v>
      </c>
      <c r="F78" s="8" t="str">
        <f t="shared" si="6"/>
        <v>Neha Sharma</v>
      </c>
      <c r="G78" s="9" t="s">
        <v>29</v>
      </c>
      <c r="H78" s="8">
        <v>2</v>
      </c>
      <c r="I78" s="8">
        <v>18000</v>
      </c>
      <c r="J78" s="8">
        <v>6</v>
      </c>
      <c r="K78" s="10">
        <f t="shared" si="1"/>
        <v>0.06</v>
      </c>
      <c r="L78" s="8" t="s">
        <v>20</v>
      </c>
      <c r="M78" s="8">
        <f t="shared" si="2"/>
        <v>33840</v>
      </c>
      <c r="N78" s="8">
        <f t="shared" si="3"/>
        <v>36000</v>
      </c>
      <c r="O78" s="8" t="str">
        <f t="shared" si="7"/>
        <v>Mar-2025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 x14ac:dyDescent="0.25">
      <c r="A79" s="6" t="s">
        <v>173</v>
      </c>
      <c r="B79" s="13" t="s">
        <v>174</v>
      </c>
      <c r="C79" s="8" t="s">
        <v>175</v>
      </c>
      <c r="D79" s="8" t="s">
        <v>33</v>
      </c>
      <c r="E79" s="8" t="s">
        <v>41</v>
      </c>
      <c r="F79" s="8" t="str">
        <f t="shared" si="6"/>
        <v>Anita Joseph</v>
      </c>
      <c r="G79" s="9" t="s">
        <v>53</v>
      </c>
      <c r="H79" s="8">
        <v>3</v>
      </c>
      <c r="I79" s="8">
        <v>9500</v>
      </c>
      <c r="J79" s="8">
        <v>6</v>
      </c>
      <c r="K79" s="10">
        <f t="shared" si="1"/>
        <v>0.06</v>
      </c>
      <c r="L79" s="8" t="s">
        <v>20</v>
      </c>
      <c r="M79" s="8">
        <f t="shared" si="2"/>
        <v>26790</v>
      </c>
      <c r="N79" s="8">
        <f t="shared" si="3"/>
        <v>28500</v>
      </c>
      <c r="O79" s="8" t="str">
        <f t="shared" si="7"/>
        <v>Feb-2025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6" t="s">
        <v>176</v>
      </c>
      <c r="B80" s="11">
        <v>45748</v>
      </c>
      <c r="C80" s="8" t="s">
        <v>26</v>
      </c>
      <c r="D80" s="8" t="s">
        <v>17</v>
      </c>
      <c r="E80" s="8" t="s">
        <v>44</v>
      </c>
      <c r="F80" s="8" t="str">
        <f t="shared" si="6"/>
        <v>Rahul Nair</v>
      </c>
      <c r="G80" s="9" t="s">
        <v>19</v>
      </c>
      <c r="H80" s="8">
        <v>4</v>
      </c>
      <c r="I80" s="8">
        <v>12000</v>
      </c>
      <c r="J80" s="8">
        <v>5</v>
      </c>
      <c r="K80" s="10">
        <f t="shared" si="1"/>
        <v>0.05</v>
      </c>
      <c r="L80" s="8" t="s">
        <v>20</v>
      </c>
      <c r="M80" s="8">
        <f t="shared" si="2"/>
        <v>45600</v>
      </c>
      <c r="N80" s="8">
        <f t="shared" si="3"/>
        <v>48000</v>
      </c>
      <c r="O80" s="8" t="str">
        <f t="shared" si="7"/>
        <v>Apr-2025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 x14ac:dyDescent="0.25">
      <c r="A81" s="6" t="s">
        <v>177</v>
      </c>
      <c r="B81" s="7">
        <v>45740</v>
      </c>
      <c r="C81" s="8" t="s">
        <v>178</v>
      </c>
      <c r="D81" s="8" t="s">
        <v>27</v>
      </c>
      <c r="E81" s="8" t="s">
        <v>18</v>
      </c>
      <c r="F81" s="8" t="str">
        <f t="shared" si="6"/>
        <v>Neha Sharma</v>
      </c>
      <c r="G81" s="9" t="s">
        <v>37</v>
      </c>
      <c r="H81" s="8">
        <v>1</v>
      </c>
      <c r="I81" s="8">
        <v>55000</v>
      </c>
      <c r="J81" s="8">
        <v>6</v>
      </c>
      <c r="K81" s="10">
        <f t="shared" si="1"/>
        <v>0.06</v>
      </c>
      <c r="L81" s="8" t="s">
        <v>20</v>
      </c>
      <c r="M81" s="8">
        <f t="shared" si="2"/>
        <v>51700</v>
      </c>
      <c r="N81" s="8">
        <f t="shared" si="3"/>
        <v>55000</v>
      </c>
      <c r="O81" s="8" t="str">
        <f t="shared" si="7"/>
        <v>Mar-2025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6" t="s">
        <v>179</v>
      </c>
      <c r="B82" s="7">
        <v>45768</v>
      </c>
      <c r="C82" s="8" t="s">
        <v>39</v>
      </c>
      <c r="D82" s="8" t="s">
        <v>17</v>
      </c>
      <c r="E82" s="8" t="s">
        <v>116</v>
      </c>
      <c r="F82" s="8" t="str">
        <f t="shared" si="6"/>
        <v>Neha Sharma</v>
      </c>
      <c r="G82" s="9" t="s">
        <v>37</v>
      </c>
      <c r="H82" s="8">
        <v>2</v>
      </c>
      <c r="I82" s="8">
        <v>55000</v>
      </c>
      <c r="J82" s="8">
        <v>6</v>
      </c>
      <c r="K82" s="10">
        <f t="shared" si="1"/>
        <v>0.06</v>
      </c>
      <c r="L82" s="8" t="s">
        <v>20</v>
      </c>
      <c r="M82" s="8">
        <f t="shared" si="2"/>
        <v>103400</v>
      </c>
      <c r="N82" s="8">
        <f t="shared" si="3"/>
        <v>110000</v>
      </c>
      <c r="O82" s="8" t="str">
        <f t="shared" si="7"/>
        <v>Apr-2025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 x14ac:dyDescent="0.25">
      <c r="A83" s="6" t="s">
        <v>180</v>
      </c>
      <c r="B83" s="11">
        <v>45722</v>
      </c>
      <c r="C83" s="8" t="s">
        <v>181</v>
      </c>
      <c r="D83" s="8" t="s">
        <v>33</v>
      </c>
      <c r="E83" s="8" t="s">
        <v>44</v>
      </c>
      <c r="F83" s="8" t="str">
        <f t="shared" si="6"/>
        <v>Rahul Nair</v>
      </c>
      <c r="G83" s="9" t="s">
        <v>53</v>
      </c>
      <c r="H83" s="8">
        <v>1</v>
      </c>
      <c r="I83" s="8">
        <v>9500</v>
      </c>
      <c r="J83" s="8">
        <v>3</v>
      </c>
      <c r="K83" s="10">
        <f t="shared" si="1"/>
        <v>0.03</v>
      </c>
      <c r="L83" s="8" t="s">
        <v>20</v>
      </c>
      <c r="M83" s="8">
        <f t="shared" si="2"/>
        <v>9215</v>
      </c>
      <c r="N83" s="8">
        <f t="shared" si="3"/>
        <v>9500</v>
      </c>
      <c r="O83" s="8" t="str">
        <f t="shared" si="7"/>
        <v>Mar-2025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 x14ac:dyDescent="0.25">
      <c r="A84" s="6" t="s">
        <v>182</v>
      </c>
      <c r="B84" s="7">
        <v>45733</v>
      </c>
      <c r="C84" s="8" t="s">
        <v>183</v>
      </c>
      <c r="D84" s="8" t="s">
        <v>27</v>
      </c>
      <c r="E84" s="8" t="s">
        <v>18</v>
      </c>
      <c r="F84" s="8" t="str">
        <f t="shared" si="6"/>
        <v>Neha Sharma</v>
      </c>
      <c r="G84" s="9" t="s">
        <v>19</v>
      </c>
      <c r="H84" s="8">
        <v>2</v>
      </c>
      <c r="I84" s="8">
        <v>12000</v>
      </c>
      <c r="J84" s="8">
        <v>5</v>
      </c>
      <c r="K84" s="10">
        <f t="shared" si="1"/>
        <v>0.05</v>
      </c>
      <c r="L84" s="8" t="s">
        <v>20</v>
      </c>
      <c r="M84" s="8">
        <f t="shared" si="2"/>
        <v>22800</v>
      </c>
      <c r="N84" s="8">
        <f t="shared" si="3"/>
        <v>24000</v>
      </c>
      <c r="O84" s="8" t="str">
        <f t="shared" si="7"/>
        <v>Mar-2025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 x14ac:dyDescent="0.25">
      <c r="A85" s="6" t="s">
        <v>184</v>
      </c>
      <c r="B85" s="7">
        <v>45700</v>
      </c>
      <c r="C85" s="8" t="s">
        <v>185</v>
      </c>
      <c r="D85" s="8" t="s">
        <v>40</v>
      </c>
      <c r="E85" s="8" t="s">
        <v>44</v>
      </c>
      <c r="F85" s="8" t="str">
        <f t="shared" si="6"/>
        <v>Rahul Nair</v>
      </c>
      <c r="G85" s="9" t="s">
        <v>29</v>
      </c>
      <c r="H85" s="8">
        <v>3</v>
      </c>
      <c r="I85" s="8">
        <v>18000</v>
      </c>
      <c r="J85" s="8">
        <v>4</v>
      </c>
      <c r="K85" s="10">
        <f t="shared" si="1"/>
        <v>0.04</v>
      </c>
      <c r="L85" s="8" t="s">
        <v>20</v>
      </c>
      <c r="M85" s="8">
        <f t="shared" si="2"/>
        <v>51840</v>
      </c>
      <c r="N85" s="8">
        <f t="shared" si="3"/>
        <v>54000</v>
      </c>
      <c r="O85" s="8" t="str">
        <f t="shared" si="7"/>
        <v>Feb-2025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6" t="s">
        <v>186</v>
      </c>
      <c r="B86" s="7">
        <v>45716</v>
      </c>
      <c r="C86" s="8" t="s">
        <v>94</v>
      </c>
      <c r="D86" s="8" t="s">
        <v>17</v>
      </c>
      <c r="E86" s="8" t="s">
        <v>41</v>
      </c>
      <c r="F86" s="8" t="str">
        <f t="shared" si="6"/>
        <v>Anita Joseph</v>
      </c>
      <c r="G86" s="9" t="s">
        <v>24</v>
      </c>
      <c r="H86" s="8">
        <v>2</v>
      </c>
      <c r="I86" s="8">
        <v>7500</v>
      </c>
      <c r="J86" s="8">
        <v>4</v>
      </c>
      <c r="K86" s="10">
        <f t="shared" si="1"/>
        <v>0.04</v>
      </c>
      <c r="L86" s="8" t="s">
        <v>20</v>
      </c>
      <c r="M86" s="8">
        <f t="shared" si="2"/>
        <v>14400</v>
      </c>
      <c r="N86" s="8">
        <f t="shared" si="3"/>
        <v>15000</v>
      </c>
      <c r="O86" s="8" t="str">
        <f t="shared" si="7"/>
        <v>Feb-2025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 x14ac:dyDescent="0.25">
      <c r="A87" s="6" t="s">
        <v>187</v>
      </c>
      <c r="B87" s="11">
        <v>45751</v>
      </c>
      <c r="C87" s="8" t="s">
        <v>188</v>
      </c>
      <c r="D87" s="8" t="s">
        <v>33</v>
      </c>
      <c r="E87" s="8" t="s">
        <v>116</v>
      </c>
      <c r="F87" s="8" t="str">
        <f t="shared" si="6"/>
        <v>Neha Sharma</v>
      </c>
      <c r="G87" s="9" t="s">
        <v>37</v>
      </c>
      <c r="H87" s="8">
        <v>3</v>
      </c>
      <c r="I87" s="8">
        <v>55000</v>
      </c>
      <c r="J87" s="8">
        <v>5</v>
      </c>
      <c r="K87" s="10">
        <f t="shared" si="1"/>
        <v>0.05</v>
      </c>
      <c r="L87" s="8" t="s">
        <v>20</v>
      </c>
      <c r="M87" s="8">
        <f t="shared" si="2"/>
        <v>156750</v>
      </c>
      <c r="N87" s="8">
        <f t="shared" si="3"/>
        <v>165000</v>
      </c>
      <c r="O87" s="8" t="str">
        <f t="shared" si="7"/>
        <v>Apr-2025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6" t="s">
        <v>189</v>
      </c>
      <c r="B88" s="11">
        <v>45725</v>
      </c>
      <c r="C88" s="8" t="s">
        <v>190</v>
      </c>
      <c r="D88" s="8" t="s">
        <v>40</v>
      </c>
      <c r="E88" s="8" t="s">
        <v>44</v>
      </c>
      <c r="F88" s="8" t="str">
        <f t="shared" si="6"/>
        <v>Rahul Nair</v>
      </c>
      <c r="G88" s="9" t="s">
        <v>19</v>
      </c>
      <c r="H88" s="8">
        <v>2</v>
      </c>
      <c r="I88" s="8">
        <v>12000</v>
      </c>
      <c r="J88" s="8">
        <v>6</v>
      </c>
      <c r="K88" s="10">
        <f t="shared" si="1"/>
        <v>0.06</v>
      </c>
      <c r="L88" s="8" t="s">
        <v>20</v>
      </c>
      <c r="M88" s="8">
        <f t="shared" si="2"/>
        <v>22560</v>
      </c>
      <c r="N88" s="8">
        <f t="shared" si="3"/>
        <v>24000</v>
      </c>
      <c r="O88" s="8" t="str">
        <f t="shared" si="7"/>
        <v>Mar-2025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 x14ac:dyDescent="0.25">
      <c r="A89" s="6" t="s">
        <v>191</v>
      </c>
      <c r="B89" s="7">
        <v>45747</v>
      </c>
      <c r="C89" s="8" t="s">
        <v>133</v>
      </c>
      <c r="D89" s="8" t="s">
        <v>27</v>
      </c>
      <c r="E89" s="8" t="s">
        <v>70</v>
      </c>
      <c r="F89" s="8" t="str">
        <f t="shared" si="6"/>
        <v>Anita Joseph</v>
      </c>
      <c r="G89" s="9" t="s">
        <v>29</v>
      </c>
      <c r="H89" s="8">
        <v>4</v>
      </c>
      <c r="I89" s="8">
        <v>18000</v>
      </c>
      <c r="J89" s="8">
        <v>8</v>
      </c>
      <c r="K89" s="10">
        <f t="shared" si="1"/>
        <v>0.08</v>
      </c>
      <c r="L89" s="8" t="s">
        <v>20</v>
      </c>
      <c r="M89" s="8">
        <f t="shared" si="2"/>
        <v>66240</v>
      </c>
      <c r="N89" s="8">
        <f t="shared" si="3"/>
        <v>72000</v>
      </c>
      <c r="O89" s="8" t="str">
        <f t="shared" si="7"/>
        <v>Mar-2025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6" t="s">
        <v>192</v>
      </c>
      <c r="B90" s="7">
        <v>45711</v>
      </c>
      <c r="C90" s="8" t="s">
        <v>193</v>
      </c>
      <c r="D90" s="8" t="s">
        <v>17</v>
      </c>
      <c r="E90" s="8" t="s">
        <v>18</v>
      </c>
      <c r="F90" s="8" t="str">
        <f t="shared" si="6"/>
        <v>Neha Sharma</v>
      </c>
      <c r="G90" s="9" t="s">
        <v>53</v>
      </c>
      <c r="H90" s="8">
        <v>2</v>
      </c>
      <c r="I90" s="8">
        <v>9500</v>
      </c>
      <c r="J90" s="8">
        <v>5</v>
      </c>
      <c r="K90" s="10">
        <f t="shared" si="1"/>
        <v>0.05</v>
      </c>
      <c r="L90" s="8" t="s">
        <v>20</v>
      </c>
      <c r="M90" s="8">
        <f t="shared" si="2"/>
        <v>18050</v>
      </c>
      <c r="N90" s="8">
        <f t="shared" si="3"/>
        <v>19000</v>
      </c>
      <c r="O90" s="8" t="str">
        <f t="shared" si="7"/>
        <v>Feb-2025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 x14ac:dyDescent="0.25">
      <c r="A91" s="6" t="s">
        <v>194</v>
      </c>
      <c r="B91" s="11">
        <v>45749</v>
      </c>
      <c r="C91" s="8" t="s">
        <v>122</v>
      </c>
      <c r="D91" s="8" t="s">
        <v>33</v>
      </c>
      <c r="E91" s="8" t="s">
        <v>44</v>
      </c>
      <c r="F91" s="8" t="str">
        <f t="shared" si="6"/>
        <v>Rahul Nair</v>
      </c>
      <c r="G91" s="9" t="s">
        <v>19</v>
      </c>
      <c r="H91" s="8">
        <v>3</v>
      </c>
      <c r="I91" s="8">
        <v>12000</v>
      </c>
      <c r="J91" s="8">
        <v>5</v>
      </c>
      <c r="K91" s="10">
        <f t="shared" si="1"/>
        <v>0.05</v>
      </c>
      <c r="L91" s="8" t="s">
        <v>20</v>
      </c>
      <c r="M91" s="8">
        <f t="shared" si="2"/>
        <v>34200</v>
      </c>
      <c r="N91" s="8">
        <f t="shared" si="3"/>
        <v>36000</v>
      </c>
      <c r="O91" s="8" t="str">
        <f t="shared" si="7"/>
        <v>Apr-2025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6" t="s">
        <v>195</v>
      </c>
      <c r="B92" s="11">
        <v>45752</v>
      </c>
      <c r="C92" s="8" t="s">
        <v>100</v>
      </c>
      <c r="D92" s="8" t="s">
        <v>40</v>
      </c>
      <c r="E92" s="8" t="s">
        <v>116</v>
      </c>
      <c r="F92" s="8" t="str">
        <f t="shared" si="6"/>
        <v>Neha Sharma</v>
      </c>
      <c r="G92" s="9" t="s">
        <v>29</v>
      </c>
      <c r="H92" s="8">
        <v>4</v>
      </c>
      <c r="I92" s="14" t="str">
        <f>SUBSTITUTE(I99,"₹","")</f>
        <v>18000</v>
      </c>
      <c r="J92" s="8">
        <v>6</v>
      </c>
      <c r="K92" s="10">
        <f t="shared" si="1"/>
        <v>0.06</v>
      </c>
      <c r="L92" s="8" t="s">
        <v>30</v>
      </c>
      <c r="M92" s="8">
        <f t="shared" si="2"/>
        <v>0</v>
      </c>
      <c r="N92" s="8">
        <f t="shared" si="3"/>
        <v>0</v>
      </c>
      <c r="O92" s="8" t="str">
        <f t="shared" si="7"/>
        <v>Apr-2025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 x14ac:dyDescent="0.25">
      <c r="A93" s="6" t="s">
        <v>196</v>
      </c>
      <c r="B93" s="7">
        <v>45776</v>
      </c>
      <c r="C93" s="8" t="s">
        <v>197</v>
      </c>
      <c r="D93" s="8" t="s">
        <v>40</v>
      </c>
      <c r="E93" s="8" t="s">
        <v>23</v>
      </c>
      <c r="F93" s="8" t="str">
        <f t="shared" si="6"/>
        <v>Riya Gupta</v>
      </c>
      <c r="G93" s="9" t="s">
        <v>24</v>
      </c>
      <c r="H93" s="8">
        <v>2</v>
      </c>
      <c r="I93" s="8">
        <v>7500</v>
      </c>
      <c r="J93" s="8">
        <v>5</v>
      </c>
      <c r="K93" s="10">
        <f t="shared" si="1"/>
        <v>0.05</v>
      </c>
      <c r="L93" s="8" t="s">
        <v>20</v>
      </c>
      <c r="M93" s="8">
        <f t="shared" si="2"/>
        <v>14250</v>
      </c>
      <c r="N93" s="8">
        <f t="shared" si="3"/>
        <v>15000</v>
      </c>
      <c r="O93" s="8" t="str">
        <f t="shared" si="7"/>
        <v>Apr-2025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6" t="s">
        <v>198</v>
      </c>
      <c r="B94" s="7">
        <v>45727</v>
      </c>
      <c r="C94" s="8" t="s">
        <v>199</v>
      </c>
      <c r="D94" s="8" t="s">
        <v>40</v>
      </c>
      <c r="E94" s="8" t="s">
        <v>116</v>
      </c>
      <c r="F94" s="8" t="str">
        <f t="shared" si="6"/>
        <v>Neha Sharma</v>
      </c>
      <c r="G94" s="9" t="s">
        <v>29</v>
      </c>
      <c r="H94" s="8">
        <v>2</v>
      </c>
      <c r="I94" s="8">
        <v>18000</v>
      </c>
      <c r="J94" s="8">
        <v>3</v>
      </c>
      <c r="K94" s="10">
        <f t="shared" si="1"/>
        <v>0.03</v>
      </c>
      <c r="L94" s="8" t="s">
        <v>20</v>
      </c>
      <c r="M94" s="8">
        <f t="shared" si="2"/>
        <v>34920</v>
      </c>
      <c r="N94" s="8">
        <f t="shared" si="3"/>
        <v>36000</v>
      </c>
      <c r="O94" s="8" t="str">
        <f t="shared" si="7"/>
        <v>Mar-2025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 x14ac:dyDescent="0.25">
      <c r="A95" s="6" t="s">
        <v>200</v>
      </c>
      <c r="B95" s="11">
        <v>45695</v>
      </c>
      <c r="C95" s="8" t="s">
        <v>26</v>
      </c>
      <c r="D95" s="8" t="s">
        <v>27</v>
      </c>
      <c r="E95" s="8" t="s">
        <v>44</v>
      </c>
      <c r="F95" s="8" t="str">
        <f t="shared" si="6"/>
        <v>Rahul Nair</v>
      </c>
      <c r="G95" s="9" t="s">
        <v>37</v>
      </c>
      <c r="H95" s="8">
        <v>4</v>
      </c>
      <c r="I95" s="8">
        <v>55000</v>
      </c>
      <c r="J95" s="8">
        <v>7</v>
      </c>
      <c r="K95" s="10">
        <f t="shared" si="1"/>
        <v>7.0000000000000007E-2</v>
      </c>
      <c r="L95" s="8" t="s">
        <v>20</v>
      </c>
      <c r="M95" s="8">
        <f t="shared" si="2"/>
        <v>204600</v>
      </c>
      <c r="N95" s="8">
        <f t="shared" si="3"/>
        <v>220000</v>
      </c>
      <c r="O95" s="8" t="str">
        <f t="shared" si="7"/>
        <v>Feb-2025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6" t="s">
        <v>201</v>
      </c>
      <c r="B96" s="7">
        <v>45767</v>
      </c>
      <c r="C96" s="8" t="s">
        <v>129</v>
      </c>
      <c r="D96" s="8" t="s">
        <v>33</v>
      </c>
      <c r="E96" s="8" t="s">
        <v>18</v>
      </c>
      <c r="F96" s="8" t="str">
        <f t="shared" si="6"/>
        <v>Neha Sharma</v>
      </c>
      <c r="G96" s="9" t="s">
        <v>24</v>
      </c>
      <c r="H96" s="8">
        <v>3</v>
      </c>
      <c r="I96" s="8">
        <v>7500</v>
      </c>
      <c r="J96" s="8">
        <v>6</v>
      </c>
      <c r="K96" s="10">
        <f t="shared" si="1"/>
        <v>0.06</v>
      </c>
      <c r="L96" s="8" t="s">
        <v>30</v>
      </c>
      <c r="M96" s="8">
        <f t="shared" si="2"/>
        <v>0</v>
      </c>
      <c r="N96" s="8">
        <f t="shared" si="3"/>
        <v>0</v>
      </c>
      <c r="O96" s="8" t="str">
        <f t="shared" si="7"/>
        <v>Apr-2025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 x14ac:dyDescent="0.25">
      <c r="A97" s="6" t="s">
        <v>202</v>
      </c>
      <c r="B97" s="7">
        <v>45741</v>
      </c>
      <c r="C97" s="8" t="s">
        <v>203</v>
      </c>
      <c r="D97" s="8" t="s">
        <v>17</v>
      </c>
      <c r="E97" s="8" t="s">
        <v>70</v>
      </c>
      <c r="F97" s="8" t="str">
        <f t="shared" si="6"/>
        <v>Anita Joseph</v>
      </c>
      <c r="G97" s="9" t="s">
        <v>19</v>
      </c>
      <c r="H97" s="8">
        <v>2</v>
      </c>
      <c r="I97" s="8">
        <v>12000</v>
      </c>
      <c r="J97" s="8">
        <v>5</v>
      </c>
      <c r="K97" s="10">
        <f t="shared" si="1"/>
        <v>0.05</v>
      </c>
      <c r="L97" s="8" t="s">
        <v>20</v>
      </c>
      <c r="M97" s="8">
        <f t="shared" si="2"/>
        <v>22800</v>
      </c>
      <c r="N97" s="8">
        <f t="shared" si="3"/>
        <v>24000</v>
      </c>
      <c r="O97" s="8" t="str">
        <f t="shared" si="7"/>
        <v>Mar-2025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6" t="s">
        <v>204</v>
      </c>
      <c r="B98" s="7">
        <v>45763</v>
      </c>
      <c r="C98" s="8" t="s">
        <v>67</v>
      </c>
      <c r="D98" s="8" t="s">
        <v>33</v>
      </c>
      <c r="E98" s="8" t="s">
        <v>18</v>
      </c>
      <c r="F98" s="8" t="str">
        <f t="shared" si="6"/>
        <v>Neha Sharma</v>
      </c>
      <c r="G98" s="9" t="s">
        <v>37</v>
      </c>
      <c r="H98" s="8">
        <v>7</v>
      </c>
      <c r="I98" s="8">
        <v>55000</v>
      </c>
      <c r="J98" s="8">
        <v>1</v>
      </c>
      <c r="K98" s="10">
        <f t="shared" si="1"/>
        <v>1</v>
      </c>
      <c r="L98" s="8" t="s">
        <v>20</v>
      </c>
      <c r="M98" s="8">
        <f t="shared" si="2"/>
        <v>0</v>
      </c>
      <c r="N98" s="8">
        <f t="shared" si="3"/>
        <v>385000</v>
      </c>
      <c r="O98" s="8" t="str">
        <f t="shared" si="7"/>
        <v>Apr-2025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 x14ac:dyDescent="0.25">
      <c r="A99" s="6" t="s">
        <v>205</v>
      </c>
      <c r="B99" s="11">
        <v>45693</v>
      </c>
      <c r="C99" s="8" t="s">
        <v>206</v>
      </c>
      <c r="D99" s="8" t="s">
        <v>40</v>
      </c>
      <c r="E99" s="8" t="s">
        <v>44</v>
      </c>
      <c r="F99" s="8" t="str">
        <f t="shared" si="6"/>
        <v>Rahul Nair</v>
      </c>
      <c r="G99" s="9" t="s">
        <v>29</v>
      </c>
      <c r="H99" s="8">
        <v>2</v>
      </c>
      <c r="I99" s="8">
        <v>18000</v>
      </c>
      <c r="J99" s="8">
        <v>5</v>
      </c>
      <c r="K99" s="10">
        <f t="shared" si="1"/>
        <v>0.05</v>
      </c>
      <c r="L99" s="8" t="s">
        <v>20</v>
      </c>
      <c r="M99" s="8">
        <f t="shared" si="2"/>
        <v>34200</v>
      </c>
      <c r="N99" s="8">
        <f t="shared" si="3"/>
        <v>36000</v>
      </c>
      <c r="O99" s="8" t="str">
        <f t="shared" si="7"/>
        <v>Feb-2025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6" t="s">
        <v>207</v>
      </c>
      <c r="B100" s="7">
        <v>45731</v>
      </c>
      <c r="C100" s="8" t="s">
        <v>208</v>
      </c>
      <c r="D100" s="8" t="s">
        <v>17</v>
      </c>
      <c r="E100" s="8" t="s">
        <v>18</v>
      </c>
      <c r="F100" s="8" t="str">
        <f t="shared" si="6"/>
        <v>Neha Sharma</v>
      </c>
      <c r="G100" s="9" t="s">
        <v>53</v>
      </c>
      <c r="H100" s="8">
        <v>1</v>
      </c>
      <c r="I100" s="8">
        <v>9500</v>
      </c>
      <c r="J100" s="8">
        <v>3</v>
      </c>
      <c r="K100" s="10">
        <f t="shared" si="1"/>
        <v>0.03</v>
      </c>
      <c r="L100" s="8" t="s">
        <v>20</v>
      </c>
      <c r="M100" s="8">
        <f t="shared" si="2"/>
        <v>9215</v>
      </c>
      <c r="N100" s="8">
        <f t="shared" si="3"/>
        <v>9500</v>
      </c>
      <c r="O100" s="8" t="str">
        <f t="shared" si="7"/>
        <v>Mar-2025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 x14ac:dyDescent="0.25">
      <c r="A101" s="6" t="s">
        <v>209</v>
      </c>
      <c r="B101" s="7">
        <v>45715</v>
      </c>
      <c r="C101" s="8" t="s">
        <v>124</v>
      </c>
      <c r="D101" s="8" t="s">
        <v>33</v>
      </c>
      <c r="E101" s="8" t="s">
        <v>44</v>
      </c>
      <c r="F101" s="8" t="str">
        <f t="shared" si="6"/>
        <v>Rahul Nair</v>
      </c>
      <c r="G101" s="9" t="s">
        <v>19</v>
      </c>
      <c r="H101" s="8">
        <v>2</v>
      </c>
      <c r="I101" s="8">
        <v>12000</v>
      </c>
      <c r="J101" s="8">
        <v>6</v>
      </c>
      <c r="K101" s="10">
        <f t="shared" si="1"/>
        <v>0.06</v>
      </c>
      <c r="L101" s="8" t="s">
        <v>20</v>
      </c>
      <c r="M101" s="8">
        <f t="shared" si="2"/>
        <v>22560</v>
      </c>
      <c r="N101" s="8">
        <f t="shared" si="3"/>
        <v>24000</v>
      </c>
      <c r="O101" s="8" t="str">
        <f t="shared" si="7"/>
        <v>Feb-2025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6" t="s">
        <v>210</v>
      </c>
      <c r="B102" s="11">
        <v>45755</v>
      </c>
      <c r="C102" s="8" t="s">
        <v>26</v>
      </c>
      <c r="D102" s="8" t="s">
        <v>17</v>
      </c>
      <c r="E102" s="8" t="s">
        <v>18</v>
      </c>
      <c r="F102" s="8" t="str">
        <f t="shared" si="6"/>
        <v>Neha Sharma</v>
      </c>
      <c r="G102" s="9" t="s">
        <v>29</v>
      </c>
      <c r="H102" s="8">
        <v>3</v>
      </c>
      <c r="I102" s="8">
        <v>18000</v>
      </c>
      <c r="J102" s="8">
        <v>5</v>
      </c>
      <c r="K102" s="10">
        <f t="shared" si="1"/>
        <v>0.05</v>
      </c>
      <c r="L102" s="8" t="s">
        <v>20</v>
      </c>
      <c r="M102" s="8">
        <f t="shared" si="2"/>
        <v>51300</v>
      </c>
      <c r="N102" s="8">
        <f t="shared" si="3"/>
        <v>54000</v>
      </c>
      <c r="O102" s="8" t="str">
        <f t="shared" si="7"/>
        <v>Apr-2025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 x14ac:dyDescent="0.25">
      <c r="A103" s="6" t="s">
        <v>211</v>
      </c>
      <c r="B103" s="7">
        <v>45710</v>
      </c>
      <c r="C103" s="8" t="s">
        <v>88</v>
      </c>
      <c r="D103" s="8" t="s">
        <v>40</v>
      </c>
      <c r="E103" s="8" t="s">
        <v>70</v>
      </c>
      <c r="F103" s="8" t="str">
        <f t="shared" si="6"/>
        <v>Anita Joseph</v>
      </c>
      <c r="G103" s="9" t="s">
        <v>53</v>
      </c>
      <c r="H103" s="8">
        <v>4</v>
      </c>
      <c r="I103" s="8">
        <v>9500</v>
      </c>
      <c r="J103" s="8">
        <v>6</v>
      </c>
      <c r="K103" s="10">
        <f t="shared" si="1"/>
        <v>0.06</v>
      </c>
      <c r="L103" s="8" t="s">
        <v>20</v>
      </c>
      <c r="M103" s="8">
        <f t="shared" si="2"/>
        <v>35720</v>
      </c>
      <c r="N103" s="8">
        <f t="shared" si="3"/>
        <v>38000</v>
      </c>
      <c r="O103" s="8" t="str">
        <f t="shared" si="7"/>
        <v>Feb-2025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6" t="s">
        <v>212</v>
      </c>
      <c r="B104" s="15">
        <v>45661</v>
      </c>
      <c r="C104" s="8" t="s">
        <v>43</v>
      </c>
      <c r="D104" s="8" t="s">
        <v>33</v>
      </c>
      <c r="E104" s="8" t="s">
        <v>18</v>
      </c>
      <c r="F104" s="8" t="str">
        <f t="shared" si="6"/>
        <v>Neha Sharma</v>
      </c>
      <c r="G104" s="9" t="s">
        <v>19</v>
      </c>
      <c r="H104" s="8">
        <v>3</v>
      </c>
      <c r="I104" s="8">
        <v>12000</v>
      </c>
      <c r="J104" s="8">
        <v>5</v>
      </c>
      <c r="K104" s="10">
        <f t="shared" si="1"/>
        <v>0.05</v>
      </c>
      <c r="L104" s="8" t="s">
        <v>20</v>
      </c>
      <c r="M104" s="8">
        <f t="shared" si="2"/>
        <v>34200</v>
      </c>
      <c r="N104" s="8">
        <f t="shared" si="3"/>
        <v>36000</v>
      </c>
      <c r="O104" s="8" t="str">
        <f t="shared" si="7"/>
        <v>Jan-2025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 x14ac:dyDescent="0.25">
      <c r="A105" s="6" t="s">
        <v>213</v>
      </c>
      <c r="B105" s="11">
        <v>45717</v>
      </c>
      <c r="C105" s="8" t="s">
        <v>46</v>
      </c>
      <c r="D105" s="8" t="s">
        <v>33</v>
      </c>
      <c r="E105" s="8" t="s">
        <v>70</v>
      </c>
      <c r="F105" s="8" t="str">
        <f t="shared" si="6"/>
        <v>Anita Joseph</v>
      </c>
      <c r="G105" s="9" t="s">
        <v>29</v>
      </c>
      <c r="H105" s="8">
        <v>6</v>
      </c>
      <c r="I105" s="8">
        <v>18000</v>
      </c>
      <c r="J105" s="8">
        <v>8</v>
      </c>
      <c r="K105" s="10">
        <f t="shared" si="1"/>
        <v>0.08</v>
      </c>
      <c r="L105" s="8" t="s">
        <v>20</v>
      </c>
      <c r="M105" s="8">
        <f t="shared" si="2"/>
        <v>99360</v>
      </c>
      <c r="N105" s="8">
        <f t="shared" si="3"/>
        <v>108000</v>
      </c>
      <c r="O105" s="8" t="str">
        <f t="shared" si="7"/>
        <v>Mar-2025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6" t="s">
        <v>214</v>
      </c>
      <c r="B106" s="11">
        <v>45720</v>
      </c>
      <c r="C106" s="8" t="s">
        <v>16</v>
      </c>
      <c r="D106" s="8" t="s">
        <v>27</v>
      </c>
      <c r="E106" s="8" t="s">
        <v>44</v>
      </c>
      <c r="F106" s="8" t="str">
        <f t="shared" si="6"/>
        <v>Rahul Nair</v>
      </c>
      <c r="G106" s="9" t="s">
        <v>19</v>
      </c>
      <c r="H106" s="8">
        <v>2</v>
      </c>
      <c r="I106" s="8">
        <v>12000</v>
      </c>
      <c r="J106" s="8">
        <v>5</v>
      </c>
      <c r="K106" s="10">
        <f t="shared" si="1"/>
        <v>0.05</v>
      </c>
      <c r="L106" s="8" t="s">
        <v>20</v>
      </c>
      <c r="M106" s="8">
        <f t="shared" si="2"/>
        <v>22800</v>
      </c>
      <c r="N106" s="8">
        <f t="shared" si="3"/>
        <v>24000</v>
      </c>
      <c r="O106" s="8" t="str">
        <f t="shared" si="7"/>
        <v>Mar-2025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 x14ac:dyDescent="0.25">
      <c r="A107" s="6" t="s">
        <v>215</v>
      </c>
      <c r="B107" s="7">
        <v>45726</v>
      </c>
      <c r="C107" s="8" t="s">
        <v>22</v>
      </c>
      <c r="D107" s="8" t="s">
        <v>17</v>
      </c>
      <c r="E107" s="8" t="s">
        <v>116</v>
      </c>
      <c r="F107" s="8" t="str">
        <f t="shared" si="6"/>
        <v>Neha Sharma</v>
      </c>
      <c r="G107" s="9" t="s">
        <v>24</v>
      </c>
      <c r="H107" s="8">
        <v>2</v>
      </c>
      <c r="I107" s="8">
        <v>7500</v>
      </c>
      <c r="J107" s="8">
        <v>4</v>
      </c>
      <c r="K107" s="10">
        <f t="shared" si="1"/>
        <v>0.04</v>
      </c>
      <c r="L107" s="8" t="s">
        <v>20</v>
      </c>
      <c r="M107" s="8">
        <f t="shared" si="2"/>
        <v>14400</v>
      </c>
      <c r="N107" s="8">
        <f t="shared" si="3"/>
        <v>15000</v>
      </c>
      <c r="O107" s="8" t="str">
        <f t="shared" si="7"/>
        <v>Mar-2025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6" t="s">
        <v>216</v>
      </c>
      <c r="B108" s="7">
        <v>45702</v>
      </c>
      <c r="C108" s="8" t="s">
        <v>26</v>
      </c>
      <c r="D108" s="8" t="s">
        <v>33</v>
      </c>
      <c r="E108" s="8" t="s">
        <v>44</v>
      </c>
      <c r="F108" s="8" t="str">
        <f t="shared" si="6"/>
        <v>Rahul Nair</v>
      </c>
      <c r="G108" s="9" t="s">
        <v>37</v>
      </c>
      <c r="H108" s="8">
        <v>5</v>
      </c>
      <c r="I108" s="8">
        <v>55000</v>
      </c>
      <c r="J108" s="8">
        <v>7</v>
      </c>
      <c r="K108" s="10">
        <f t="shared" si="1"/>
        <v>7.0000000000000007E-2</v>
      </c>
      <c r="L108" s="8" t="s">
        <v>20</v>
      </c>
      <c r="M108" s="8">
        <f t="shared" si="2"/>
        <v>255749.99999999997</v>
      </c>
      <c r="N108" s="8">
        <f t="shared" si="3"/>
        <v>275000</v>
      </c>
      <c r="O108" s="8" t="str">
        <f t="shared" si="7"/>
        <v>Feb-2025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 x14ac:dyDescent="0.25">
      <c r="A109" s="6" t="s">
        <v>217</v>
      </c>
      <c r="B109" s="7">
        <v>45746</v>
      </c>
      <c r="C109" s="8" t="s">
        <v>139</v>
      </c>
      <c r="D109" s="8" t="s">
        <v>40</v>
      </c>
      <c r="E109" s="8" t="s">
        <v>116</v>
      </c>
      <c r="F109" s="8" t="str">
        <f t="shared" si="6"/>
        <v>Neha Sharma</v>
      </c>
      <c r="G109" s="9" t="s">
        <v>29</v>
      </c>
      <c r="H109" s="8">
        <v>3</v>
      </c>
      <c r="I109" s="8">
        <v>18000</v>
      </c>
      <c r="J109" s="8">
        <v>5</v>
      </c>
      <c r="K109" s="10">
        <f t="shared" si="1"/>
        <v>0.05</v>
      </c>
      <c r="L109" s="8" t="s">
        <v>20</v>
      </c>
      <c r="M109" s="8">
        <f t="shared" si="2"/>
        <v>51300</v>
      </c>
      <c r="N109" s="8">
        <f t="shared" si="3"/>
        <v>54000</v>
      </c>
      <c r="O109" s="8" t="str">
        <f t="shared" si="7"/>
        <v>Mar-2025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6" t="s">
        <v>218</v>
      </c>
      <c r="B110" s="7">
        <v>45714</v>
      </c>
      <c r="C110" s="8" t="s">
        <v>35</v>
      </c>
      <c r="D110" s="8" t="s">
        <v>27</v>
      </c>
      <c r="E110" s="8" t="s">
        <v>36</v>
      </c>
      <c r="F110" s="8" t="str">
        <f t="shared" si="6"/>
        <v>Srikanth Verma</v>
      </c>
      <c r="G110" s="9" t="s">
        <v>37</v>
      </c>
      <c r="H110" s="8">
        <v>1</v>
      </c>
      <c r="I110" s="8">
        <v>55000</v>
      </c>
      <c r="J110" s="12">
        <v>0.08</v>
      </c>
      <c r="K110" s="10">
        <f t="shared" si="1"/>
        <v>0.08</v>
      </c>
      <c r="L110" s="8" t="s">
        <v>30</v>
      </c>
      <c r="M110" s="8">
        <f t="shared" si="2"/>
        <v>0</v>
      </c>
      <c r="N110" s="8">
        <f t="shared" si="3"/>
        <v>0</v>
      </c>
      <c r="O110" s="8" t="str">
        <f t="shared" si="7"/>
        <v>Feb-2025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 x14ac:dyDescent="0.25">
      <c r="A111" s="6" t="s">
        <v>219</v>
      </c>
      <c r="B111" s="11">
        <v>45756</v>
      </c>
      <c r="C111" s="8" t="s">
        <v>220</v>
      </c>
      <c r="D111" s="8" t="s">
        <v>17</v>
      </c>
      <c r="E111" s="8" t="s">
        <v>41</v>
      </c>
      <c r="F111" s="8" t="str">
        <f t="shared" si="6"/>
        <v>Anita Joseph</v>
      </c>
      <c r="G111" s="9" t="s">
        <v>19</v>
      </c>
      <c r="H111" s="8">
        <v>2</v>
      </c>
      <c r="I111" s="8">
        <v>12000</v>
      </c>
      <c r="J111" s="8">
        <v>5</v>
      </c>
      <c r="K111" s="10">
        <f t="shared" si="1"/>
        <v>0.05</v>
      </c>
      <c r="L111" s="8" t="s">
        <v>20</v>
      </c>
      <c r="M111" s="8">
        <f t="shared" si="2"/>
        <v>22800</v>
      </c>
      <c r="N111" s="8">
        <f t="shared" si="3"/>
        <v>24000</v>
      </c>
      <c r="O111" s="8" t="str">
        <f t="shared" si="7"/>
        <v>Apr-2025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6" t="s">
        <v>221</v>
      </c>
      <c r="B112" s="11">
        <v>45691</v>
      </c>
      <c r="C112" s="8" t="s">
        <v>92</v>
      </c>
      <c r="D112" s="8" t="s">
        <v>33</v>
      </c>
      <c r="E112" s="8" t="s">
        <v>44</v>
      </c>
      <c r="F112" s="8" t="str">
        <f t="shared" si="6"/>
        <v>Rahul Nair</v>
      </c>
      <c r="G112" s="9" t="s">
        <v>53</v>
      </c>
      <c r="H112" s="8">
        <v>2</v>
      </c>
      <c r="I112" s="8">
        <v>9500</v>
      </c>
      <c r="J112" s="8">
        <v>4</v>
      </c>
      <c r="K112" s="10">
        <f t="shared" si="1"/>
        <v>0.04</v>
      </c>
      <c r="L112" s="8" t="s">
        <v>20</v>
      </c>
      <c r="M112" s="8">
        <f t="shared" si="2"/>
        <v>18240</v>
      </c>
      <c r="N112" s="8">
        <f t="shared" si="3"/>
        <v>19000</v>
      </c>
      <c r="O112" s="8" t="str">
        <f t="shared" si="7"/>
        <v>Feb-2025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 x14ac:dyDescent="0.25">
      <c r="A113" s="6" t="s">
        <v>222</v>
      </c>
      <c r="B113" s="7">
        <v>45735</v>
      </c>
      <c r="C113" s="8" t="s">
        <v>90</v>
      </c>
      <c r="D113" s="8" t="s">
        <v>40</v>
      </c>
      <c r="E113" s="8" t="s">
        <v>172</v>
      </c>
      <c r="F113" s="8" t="str">
        <f t="shared" si="6"/>
        <v>Neha Sharma</v>
      </c>
      <c r="G113" s="9" t="s">
        <v>29</v>
      </c>
      <c r="H113" s="8">
        <v>4</v>
      </c>
      <c r="I113" s="8">
        <v>18000</v>
      </c>
      <c r="J113" s="8">
        <v>6</v>
      </c>
      <c r="K113" s="10">
        <f t="shared" si="1"/>
        <v>0.06</v>
      </c>
      <c r="L113" s="8" t="s">
        <v>20</v>
      </c>
      <c r="M113" s="8">
        <f t="shared" si="2"/>
        <v>67680</v>
      </c>
      <c r="N113" s="8">
        <f t="shared" si="3"/>
        <v>72000</v>
      </c>
      <c r="O113" s="8" t="str">
        <f t="shared" si="7"/>
        <v>Mar-2025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6" t="s">
        <v>223</v>
      </c>
      <c r="B114" s="7">
        <v>45700</v>
      </c>
      <c r="C114" s="8" t="s">
        <v>39</v>
      </c>
      <c r="D114" s="8" t="s">
        <v>17</v>
      </c>
      <c r="E114" s="8" t="s">
        <v>44</v>
      </c>
      <c r="F114" s="8" t="str">
        <f t="shared" si="6"/>
        <v>Rahul Nair</v>
      </c>
      <c r="G114" s="9" t="s">
        <v>53</v>
      </c>
      <c r="H114" s="8">
        <v>2</v>
      </c>
      <c r="I114" s="8">
        <v>9500</v>
      </c>
      <c r="J114" s="8">
        <v>6</v>
      </c>
      <c r="K114" s="10">
        <f t="shared" si="1"/>
        <v>0.06</v>
      </c>
      <c r="L114" s="8" t="s">
        <v>20</v>
      </c>
      <c r="M114" s="8">
        <f t="shared" si="2"/>
        <v>17860</v>
      </c>
      <c r="N114" s="8">
        <f t="shared" si="3"/>
        <v>19000</v>
      </c>
      <c r="O114" s="8" t="str">
        <f t="shared" si="7"/>
        <v>Feb-2025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 x14ac:dyDescent="0.25">
      <c r="A115" s="6" t="s">
        <v>224</v>
      </c>
      <c r="B115" s="7">
        <v>45740</v>
      </c>
      <c r="C115" s="8" t="s">
        <v>225</v>
      </c>
      <c r="D115" s="8" t="s">
        <v>27</v>
      </c>
      <c r="E115" s="8" t="s">
        <v>41</v>
      </c>
      <c r="F115" s="8" t="str">
        <f t="shared" si="6"/>
        <v>Anita Joseph</v>
      </c>
      <c r="G115" s="9" t="s">
        <v>37</v>
      </c>
      <c r="H115" s="8">
        <v>2</v>
      </c>
      <c r="I115" s="8">
        <v>55000</v>
      </c>
      <c r="J115" s="8">
        <v>5</v>
      </c>
      <c r="K115" s="10">
        <f t="shared" si="1"/>
        <v>0.05</v>
      </c>
      <c r="L115" s="8" t="s">
        <v>20</v>
      </c>
      <c r="M115" s="8">
        <f t="shared" si="2"/>
        <v>104500</v>
      </c>
      <c r="N115" s="8">
        <f t="shared" si="3"/>
        <v>110000</v>
      </c>
      <c r="O115" s="8" t="str">
        <f t="shared" si="7"/>
        <v>Mar-2025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6" t="s">
        <v>226</v>
      </c>
      <c r="B116" s="7">
        <v>45703</v>
      </c>
      <c r="C116" s="8" t="s">
        <v>32</v>
      </c>
      <c r="D116" s="8" t="s">
        <v>17</v>
      </c>
      <c r="E116" s="8" t="s">
        <v>44</v>
      </c>
      <c r="F116" s="8" t="str">
        <f t="shared" si="6"/>
        <v>Rahul Nair</v>
      </c>
      <c r="G116" s="9" t="s">
        <v>19</v>
      </c>
      <c r="H116" s="8">
        <v>3</v>
      </c>
      <c r="I116" s="8">
        <v>12000</v>
      </c>
      <c r="J116" s="8">
        <v>4</v>
      </c>
      <c r="K116" s="10">
        <f t="shared" si="1"/>
        <v>0.04</v>
      </c>
      <c r="L116" s="8" t="s">
        <v>20</v>
      </c>
      <c r="M116" s="8">
        <f t="shared" si="2"/>
        <v>34560</v>
      </c>
      <c r="N116" s="8">
        <f t="shared" si="3"/>
        <v>36000</v>
      </c>
      <c r="O116" s="8" t="str">
        <f t="shared" si="7"/>
        <v>Feb-2025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 x14ac:dyDescent="0.25">
      <c r="A117" s="6" t="s">
        <v>227</v>
      </c>
      <c r="B117" s="13" t="s">
        <v>228</v>
      </c>
      <c r="C117" s="8" t="s">
        <v>18</v>
      </c>
      <c r="D117" s="8" t="s">
        <v>33</v>
      </c>
      <c r="E117" s="8" t="s">
        <v>70</v>
      </c>
      <c r="F117" s="8" t="str">
        <f t="shared" si="6"/>
        <v>Anita Joseph</v>
      </c>
      <c r="G117" s="9" t="s">
        <v>53</v>
      </c>
      <c r="H117" s="8">
        <v>2</v>
      </c>
      <c r="I117" s="8">
        <v>9500</v>
      </c>
      <c r="J117" s="8">
        <v>5</v>
      </c>
      <c r="K117" s="10">
        <f t="shared" si="1"/>
        <v>0.05</v>
      </c>
      <c r="L117" s="8" t="s">
        <v>20</v>
      </c>
      <c r="M117" s="8">
        <f t="shared" si="2"/>
        <v>18050</v>
      </c>
      <c r="N117" s="8">
        <f t="shared" si="3"/>
        <v>19000</v>
      </c>
      <c r="O117" s="8" t="str">
        <f t="shared" si="7"/>
        <v>Apr-2025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6" t="s">
        <v>229</v>
      </c>
      <c r="B118" s="11">
        <v>45718</v>
      </c>
      <c r="C118" s="8" t="s">
        <v>80</v>
      </c>
      <c r="D118" s="8" t="s">
        <v>27</v>
      </c>
      <c r="E118" s="8" t="s">
        <v>18</v>
      </c>
      <c r="F118" s="8" t="str">
        <f t="shared" si="6"/>
        <v>Neha Sharma</v>
      </c>
      <c r="G118" s="9" t="s">
        <v>24</v>
      </c>
      <c r="H118" s="8">
        <v>1</v>
      </c>
      <c r="I118" s="8">
        <v>7500</v>
      </c>
      <c r="J118" s="8">
        <v>6</v>
      </c>
      <c r="K118" s="10">
        <f t="shared" si="1"/>
        <v>0.06</v>
      </c>
      <c r="L118" s="8" t="s">
        <v>20</v>
      </c>
      <c r="M118" s="8">
        <f t="shared" si="2"/>
        <v>7050</v>
      </c>
      <c r="N118" s="8">
        <f t="shared" si="3"/>
        <v>7500</v>
      </c>
      <c r="O118" s="8" t="str">
        <f t="shared" si="7"/>
        <v>Mar-2025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 x14ac:dyDescent="0.25">
      <c r="A119" s="6" t="s">
        <v>230</v>
      </c>
      <c r="B119" s="11">
        <v>45754</v>
      </c>
      <c r="C119" s="8" t="s">
        <v>61</v>
      </c>
      <c r="D119" s="8" t="s">
        <v>40</v>
      </c>
      <c r="E119" s="8" t="s">
        <v>44</v>
      </c>
      <c r="F119" s="8" t="str">
        <f t="shared" si="6"/>
        <v>Rahul Nair</v>
      </c>
      <c r="G119" s="9" t="s">
        <v>29</v>
      </c>
      <c r="H119" s="8">
        <v>5</v>
      </c>
      <c r="I119" s="8">
        <v>18000</v>
      </c>
      <c r="J119" s="8">
        <v>7</v>
      </c>
      <c r="K119" s="10">
        <f t="shared" si="1"/>
        <v>7.0000000000000007E-2</v>
      </c>
      <c r="L119" s="8" t="s">
        <v>30</v>
      </c>
      <c r="M119" s="8">
        <f t="shared" si="2"/>
        <v>0</v>
      </c>
      <c r="N119" s="8">
        <f t="shared" si="3"/>
        <v>0</v>
      </c>
      <c r="O119" s="8" t="str">
        <f t="shared" si="7"/>
        <v>Apr-2025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6" t="s">
        <v>231</v>
      </c>
      <c r="B120" s="7">
        <v>45704</v>
      </c>
      <c r="C120" s="8" t="s">
        <v>94</v>
      </c>
      <c r="D120" s="8" t="s">
        <v>17</v>
      </c>
      <c r="E120" s="8" t="s">
        <v>18</v>
      </c>
      <c r="F120" s="8" t="str">
        <f t="shared" si="6"/>
        <v>Neha Sharma</v>
      </c>
      <c r="G120" s="9" t="s">
        <v>19</v>
      </c>
      <c r="H120" s="8">
        <v>3</v>
      </c>
      <c r="I120" s="8">
        <v>12000</v>
      </c>
      <c r="J120" s="8">
        <v>6</v>
      </c>
      <c r="K120" s="10">
        <f t="shared" si="1"/>
        <v>0.06</v>
      </c>
      <c r="L120" s="8" t="s">
        <v>20</v>
      </c>
      <c r="M120" s="8">
        <f t="shared" si="2"/>
        <v>33840</v>
      </c>
      <c r="N120" s="8">
        <f t="shared" si="3"/>
        <v>36000</v>
      </c>
      <c r="O120" s="8" t="str">
        <f t="shared" si="7"/>
        <v>Feb-2025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 x14ac:dyDescent="0.25">
      <c r="A121" s="6" t="s">
        <v>232</v>
      </c>
      <c r="B121" s="7">
        <v>45727</v>
      </c>
      <c r="C121" s="8" t="s">
        <v>178</v>
      </c>
      <c r="D121" s="8" t="s">
        <v>33</v>
      </c>
      <c r="E121" s="8" t="s">
        <v>44</v>
      </c>
      <c r="F121" s="8" t="str">
        <f t="shared" si="6"/>
        <v>Rahul Nair</v>
      </c>
      <c r="G121" s="8" t="s">
        <v>37</v>
      </c>
      <c r="H121" s="8">
        <v>1</v>
      </c>
      <c r="I121" s="8">
        <v>55000</v>
      </c>
      <c r="J121" s="8">
        <v>5</v>
      </c>
      <c r="K121" s="10">
        <f t="shared" si="1"/>
        <v>0.05</v>
      </c>
      <c r="L121" s="8" t="s">
        <v>20</v>
      </c>
      <c r="M121" s="8">
        <f t="shared" si="2"/>
        <v>52250</v>
      </c>
      <c r="N121" s="8">
        <f t="shared" si="3"/>
        <v>55000</v>
      </c>
      <c r="O121" s="8" t="str">
        <f t="shared" si="7"/>
        <v>Mar-2025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6" t="s">
        <v>233</v>
      </c>
      <c r="B122" s="13" t="s">
        <v>234</v>
      </c>
      <c r="C122" s="8" t="s">
        <v>235</v>
      </c>
      <c r="D122" s="8" t="s">
        <v>17</v>
      </c>
      <c r="E122" s="8" t="s">
        <v>18</v>
      </c>
      <c r="F122" s="8" t="str">
        <f t="shared" si="6"/>
        <v>Neha Sharma</v>
      </c>
      <c r="G122" s="8" t="s">
        <v>29</v>
      </c>
      <c r="H122" s="8">
        <v>2</v>
      </c>
      <c r="I122" s="8">
        <v>18000</v>
      </c>
      <c r="J122" s="8">
        <v>4</v>
      </c>
      <c r="K122" s="10">
        <f t="shared" si="1"/>
        <v>0.04</v>
      </c>
      <c r="L122" s="8" t="s">
        <v>20</v>
      </c>
      <c r="M122" s="8">
        <f t="shared" si="2"/>
        <v>34560</v>
      </c>
      <c r="N122" s="8">
        <f t="shared" si="3"/>
        <v>36000</v>
      </c>
      <c r="O122" s="8" t="str">
        <f t="shared" si="7"/>
        <v>Feb-2025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 x14ac:dyDescent="0.25">
      <c r="A123" s="6" t="s">
        <v>236</v>
      </c>
      <c r="B123" s="11">
        <v>45749</v>
      </c>
      <c r="C123" s="8" t="s">
        <v>188</v>
      </c>
      <c r="D123" s="8" t="s">
        <v>27</v>
      </c>
      <c r="E123" s="8" t="s">
        <v>41</v>
      </c>
      <c r="F123" s="8" t="str">
        <f t="shared" si="6"/>
        <v>Anita Joseph</v>
      </c>
      <c r="G123" s="8" t="s">
        <v>53</v>
      </c>
      <c r="H123" s="8">
        <v>3</v>
      </c>
      <c r="I123" s="8">
        <v>9500</v>
      </c>
      <c r="J123" s="8">
        <v>6</v>
      </c>
      <c r="K123" s="10">
        <f t="shared" si="1"/>
        <v>0.06</v>
      </c>
      <c r="L123" s="8" t="s">
        <v>20</v>
      </c>
      <c r="M123" s="8">
        <f t="shared" si="2"/>
        <v>26790</v>
      </c>
      <c r="N123" s="8">
        <f t="shared" si="3"/>
        <v>28500</v>
      </c>
      <c r="O123" s="8" t="str">
        <f t="shared" si="7"/>
        <v>Apr-2025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6" t="s">
        <v>237</v>
      </c>
      <c r="B124" s="11">
        <v>45724</v>
      </c>
      <c r="C124" s="8" t="s">
        <v>72</v>
      </c>
      <c r="D124" s="8" t="s">
        <v>33</v>
      </c>
      <c r="E124" s="8" t="s">
        <v>44</v>
      </c>
      <c r="F124" s="8" t="str">
        <f t="shared" si="6"/>
        <v>Rahul Nair</v>
      </c>
      <c r="G124" s="8" t="s">
        <v>19</v>
      </c>
      <c r="H124" s="8">
        <v>2</v>
      </c>
      <c r="I124" s="8">
        <v>12000</v>
      </c>
      <c r="J124" s="8">
        <v>5</v>
      </c>
      <c r="K124" s="10">
        <f t="shared" si="1"/>
        <v>0.05</v>
      </c>
      <c r="L124" s="8" t="s">
        <v>20</v>
      </c>
      <c r="M124" s="8">
        <f t="shared" si="2"/>
        <v>22800</v>
      </c>
      <c r="N124" s="8">
        <f t="shared" si="3"/>
        <v>24000</v>
      </c>
      <c r="O124" s="8" t="str">
        <f t="shared" si="7"/>
        <v>Mar-2025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 x14ac:dyDescent="0.25">
      <c r="A125" s="6" t="s">
        <v>238</v>
      </c>
      <c r="B125" s="7">
        <v>45705</v>
      </c>
      <c r="C125" s="8" t="s">
        <v>26</v>
      </c>
      <c r="D125" s="8" t="s">
        <v>40</v>
      </c>
      <c r="E125" s="8" t="s">
        <v>18</v>
      </c>
      <c r="F125" s="8" t="str">
        <f t="shared" si="6"/>
        <v>Neha Sharma</v>
      </c>
      <c r="G125" s="8" t="s">
        <v>29</v>
      </c>
      <c r="H125" s="8">
        <v>6</v>
      </c>
      <c r="I125" s="8">
        <v>18000</v>
      </c>
      <c r="J125" s="8">
        <v>8</v>
      </c>
      <c r="K125" s="10">
        <f t="shared" si="1"/>
        <v>0.08</v>
      </c>
      <c r="L125" s="8" t="s">
        <v>20</v>
      </c>
      <c r="M125" s="8">
        <f t="shared" si="2"/>
        <v>99360</v>
      </c>
      <c r="N125" s="8">
        <f t="shared" si="3"/>
        <v>108000</v>
      </c>
      <c r="O125" s="8" t="str">
        <f t="shared" si="7"/>
        <v>Feb-2025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</sheetData>
  <autoFilter ref="A1:O125" xr:uid="{00000000-0001-0000-0000-000000000000}"/>
  <conditionalFormatting sqref="A1:A125">
    <cfRule type="expression" dxfId="0" priority="1">
      <formula>"080=08"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73.88671875" customWidth="1"/>
    <col min="2" max="2" width="55.33203125" customWidth="1"/>
  </cols>
  <sheetData>
    <row r="1" spans="1:25" ht="13.2" x14ac:dyDescent="0.25">
      <c r="A1" s="16" t="s">
        <v>239</v>
      </c>
      <c r="B1" s="17" t="s">
        <v>240</v>
      </c>
      <c r="C1" s="1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49.5" customHeight="1" x14ac:dyDescent="0.25">
      <c r="A2" s="19" t="s">
        <v>241</v>
      </c>
      <c r="B2" s="20" t="s">
        <v>242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66" x14ac:dyDescent="0.25">
      <c r="A3" s="19" t="s">
        <v>243</v>
      </c>
      <c r="B3" s="6" t="s">
        <v>244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6.4" x14ac:dyDescent="0.25">
      <c r="A4" s="21" t="s">
        <v>245</v>
      </c>
      <c r="B4" s="6" t="s">
        <v>246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2" x14ac:dyDescent="0.25">
      <c r="A5" s="22" t="s">
        <v>247</v>
      </c>
      <c r="B5" s="23">
        <f>SUM(orders!N2:N125)</f>
        <v>5886000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3.2" x14ac:dyDescent="0.25">
      <c r="A6" s="22" t="s">
        <v>248</v>
      </c>
      <c r="B6" s="24">
        <f>(COUNTIF(orders!L2:L125,"Unpaid") + COUNTIF(orders!L2:L125,"Pending")) / COUNTA(orders!L2:L125) * 100</f>
        <v>14.516129032258066</v>
      </c>
      <c r="C6" s="25"/>
      <c r="D6" s="26"/>
      <c r="E6" s="2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92.4" x14ac:dyDescent="0.25">
      <c r="A7" s="21" t="s">
        <v>249</v>
      </c>
      <c r="B7" s="63" t="s">
        <v>269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6.4" x14ac:dyDescent="0.25">
      <c r="A8" s="19" t="s">
        <v>250</v>
      </c>
      <c r="B8" s="27" t="s">
        <v>251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3.2" x14ac:dyDescent="0.25">
      <c r="A9" s="6"/>
      <c r="B9" s="27" t="s">
        <v>252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3.2" x14ac:dyDescent="0.25">
      <c r="A10" s="6"/>
      <c r="B10" s="27" t="s">
        <v>253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3.2" x14ac:dyDescent="0.25">
      <c r="A11" s="6"/>
      <c r="B11" s="27" t="s">
        <v>254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3.2" x14ac:dyDescent="0.25">
      <c r="A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3.2" x14ac:dyDescent="0.25">
      <c r="A13" s="6"/>
      <c r="B13" s="27" t="s">
        <v>255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3.2" x14ac:dyDescent="0.25">
      <c r="A14" s="6"/>
      <c r="B14" s="27" t="s">
        <v>256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3.2" x14ac:dyDescent="0.25">
      <c r="A15" s="6"/>
      <c r="B15" s="27" t="s">
        <v>257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3.2" x14ac:dyDescent="0.25">
      <c r="A16" s="28"/>
      <c r="B16" s="27" t="s">
        <v>258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3.2" x14ac:dyDescent="0.25">
      <c r="A17" s="6"/>
      <c r="B17" s="27" t="s">
        <v>259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3.2" x14ac:dyDescent="0.25">
      <c r="A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3.2" x14ac:dyDescent="0.25">
      <c r="A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3.2" x14ac:dyDescent="0.25">
      <c r="A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3.2" x14ac:dyDescent="0.25">
      <c r="A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3.2" x14ac:dyDescent="0.25">
      <c r="A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3.2" x14ac:dyDescent="0.25">
      <c r="A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3.2" x14ac:dyDescent="0.25">
      <c r="A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3.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3.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3.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showGridLines="0" workbookViewId="0">
      <selection activeCell="D6" sqref="D6"/>
    </sheetView>
  </sheetViews>
  <sheetFormatPr defaultColWidth="12.6640625" defaultRowHeight="15.75" customHeight="1" x14ac:dyDescent="0.25"/>
  <sheetData>
    <row r="1" spans="1:2" x14ac:dyDescent="0.3">
      <c r="A1" s="29" t="s">
        <v>260</v>
      </c>
      <c r="B1" s="30"/>
    </row>
    <row r="2" spans="1:2" ht="15.75" customHeight="1" x14ac:dyDescent="0.25">
      <c r="A2" s="31"/>
    </row>
    <row r="3" spans="1:2" ht="15.75" customHeight="1" x14ac:dyDescent="0.25">
      <c r="A3" s="42" t="s">
        <v>11</v>
      </c>
      <c r="B3" s="43" t="s">
        <v>20</v>
      </c>
    </row>
    <row r="5" spans="1:2" ht="15.75" customHeight="1" x14ac:dyDescent="0.25">
      <c r="A5" s="34" t="s">
        <v>3</v>
      </c>
      <c r="B5" s="35" t="s">
        <v>261</v>
      </c>
    </row>
    <row r="6" spans="1:2" ht="15.75" customHeight="1" x14ac:dyDescent="0.25">
      <c r="A6" s="36" t="s">
        <v>40</v>
      </c>
      <c r="B6" s="37">
        <v>1089985</v>
      </c>
    </row>
    <row r="7" spans="1:2" ht="15.75" customHeight="1" x14ac:dyDescent="0.25">
      <c r="A7" s="38" t="s">
        <v>27</v>
      </c>
      <c r="B7" s="39">
        <v>1300460</v>
      </c>
    </row>
    <row r="8" spans="1:2" ht="15.75" customHeight="1" x14ac:dyDescent="0.25">
      <c r="A8" s="38" t="s">
        <v>17</v>
      </c>
      <c r="B8" s="39">
        <v>1312220</v>
      </c>
    </row>
    <row r="9" spans="1:2" ht="15.75" customHeight="1" x14ac:dyDescent="0.25">
      <c r="A9" s="38" t="s">
        <v>33</v>
      </c>
      <c r="B9" s="58">
        <v>1477815</v>
      </c>
    </row>
    <row r="10" spans="1:2" ht="15.75" customHeight="1" x14ac:dyDescent="0.25">
      <c r="A10" s="40" t="s">
        <v>262</v>
      </c>
      <c r="B10" s="41">
        <v>5180480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EAA6-576C-4780-8ABF-B8BC7E6401D1}">
  <dimension ref="A1:F9"/>
  <sheetViews>
    <sheetView workbookViewId="0">
      <selection activeCell="D6" sqref="D6"/>
    </sheetView>
  </sheetViews>
  <sheetFormatPr defaultRowHeight="13.2" x14ac:dyDescent="0.25"/>
  <cols>
    <col min="1" max="1" width="18.6640625" bestFit="1" customWidth="1"/>
    <col min="2" max="2" width="10.33203125" bestFit="1" customWidth="1"/>
    <col min="3" max="3" width="10.44140625" bestFit="1" customWidth="1"/>
    <col min="4" max="4" width="10.5546875" bestFit="1" customWidth="1"/>
    <col min="5" max="5" width="10.21875" bestFit="1" customWidth="1"/>
    <col min="6" max="6" width="21.77734375" bestFit="1" customWidth="1"/>
  </cols>
  <sheetData>
    <row r="1" spans="1:6" ht="17.399999999999999" x14ac:dyDescent="0.3">
      <c r="A1" s="62" t="s">
        <v>268</v>
      </c>
    </row>
    <row r="3" spans="1:6" ht="15.6" x14ac:dyDescent="0.3">
      <c r="A3" s="32" t="s">
        <v>6</v>
      </c>
      <c r="B3" s="33">
        <v>45658</v>
      </c>
      <c r="C3" s="33">
        <v>45689</v>
      </c>
      <c r="D3" s="33">
        <v>45717</v>
      </c>
      <c r="E3" s="33">
        <v>45748</v>
      </c>
      <c r="F3" s="60" t="s">
        <v>263</v>
      </c>
    </row>
    <row r="4" spans="1:6" x14ac:dyDescent="0.25">
      <c r="A4" t="str" cm="1">
        <f t="array" ref="A4:A8">_xlfn.UNIQUE(orders!G2:G125)</f>
        <v>Printer</v>
      </c>
      <c r="B4">
        <f>SUMIFS(orders!$H$2:$H$125, orders!$G$2:$G$125, $A4, orders!$O$2:$O$125, B$3)</f>
        <v>3</v>
      </c>
      <c r="C4">
        <f>SUMIFS(orders!$H$2:$H$125, orders!$G$2:$G$125, $A4, orders!$O$2:$O$125, C$3)</f>
        <v>17</v>
      </c>
      <c r="D4">
        <f>SUMIFS(orders!$H$2:$H$125, orders!$G$2:$G$125, $A4, orders!$O$2:$O$125, D$3)</f>
        <v>16</v>
      </c>
      <c r="E4">
        <f>SUMIFS(orders!$H$2:$H$125, orders!$G$2:$G$125, $A4, orders!$O$2:$O$125, E$3)</f>
        <v>30</v>
      </c>
      <c r="F4" s="59">
        <f>SUM(B4:E4)</f>
        <v>66</v>
      </c>
    </row>
    <row r="5" spans="1:6" x14ac:dyDescent="0.25">
      <c r="A5" t="str">
        <v>Office Chair</v>
      </c>
      <c r="B5">
        <f>SUMIFS(orders!$H$2:$H$125, orders!$G$2:$G$125, $A5, orders!$O$2:$O$125, B$3)</f>
        <v>0</v>
      </c>
      <c r="C5">
        <f>SUMIFS(orders!$H$2:$H$125, orders!$G$2:$G$125, $A5, orders!$O$2:$O$125, C$3)</f>
        <v>10</v>
      </c>
      <c r="D5">
        <f>SUMIFS(orders!$H$2:$H$125, orders!$G$2:$G$125, $A5, orders!$O$2:$O$125, D$3)</f>
        <v>17</v>
      </c>
      <c r="E5">
        <f>SUMIFS(orders!$H$2:$H$125, orders!$G$2:$G$125, $A5, orders!$O$2:$O$125, E$3)</f>
        <v>9</v>
      </c>
      <c r="F5" s="59">
        <f t="shared" ref="F5:F8" si="0">SUM(B5:E5)</f>
        <v>36</v>
      </c>
    </row>
    <row r="6" spans="1:6" x14ac:dyDescent="0.25">
      <c r="A6" t="str">
        <v>Mobile</v>
      </c>
      <c r="B6">
        <f>SUMIFS(orders!$H$2:$H$125, orders!$G$2:$G$125, $A6, orders!$O$2:$O$125, B$3)</f>
        <v>0</v>
      </c>
      <c r="C6">
        <f>SUMIFS(orders!$H$2:$H$125, orders!$G$2:$G$125, $A6, orders!$O$2:$O$125, C$3)</f>
        <v>39</v>
      </c>
      <c r="D6" s="61">
        <f>SUMIFS(orders!$H$2:$H$125, orders!$G$2:$G$125, $A6, orders!$O$2:$O$125, D$3)</f>
        <v>58</v>
      </c>
      <c r="E6">
        <f>SUMIFS(orders!$H$2:$H$125, orders!$G$2:$G$125, $A6, orders!$O$2:$O$125, E$3)</f>
        <v>48</v>
      </c>
      <c r="F6" s="61">
        <f t="shared" si="0"/>
        <v>145</v>
      </c>
    </row>
    <row r="7" spans="1:6" x14ac:dyDescent="0.25">
      <c r="A7" t="str">
        <v>Laptop</v>
      </c>
      <c r="B7">
        <f>SUMIFS(orders!$H$2:$H$125, orders!$G$2:$G$125, $A7, orders!$O$2:$O$125, B$3)</f>
        <v>0</v>
      </c>
      <c r="C7">
        <f>SUMIFS(orders!$H$2:$H$125, orders!$G$2:$G$125, $A7, orders!$O$2:$O$125, C$3)</f>
        <v>24</v>
      </c>
      <c r="D7">
        <f>SUMIFS(orders!$H$2:$H$125, orders!$G$2:$G$125, $A7, orders!$O$2:$O$125, D$3)</f>
        <v>16</v>
      </c>
      <c r="E7">
        <f>SUMIFS(orders!$H$2:$H$125, orders!$G$2:$G$125, $A7, orders!$O$2:$O$125, E$3)</f>
        <v>20</v>
      </c>
      <c r="F7" s="59">
        <f t="shared" si="0"/>
        <v>60</v>
      </c>
    </row>
    <row r="8" spans="1:6" x14ac:dyDescent="0.25">
      <c r="A8" t="str">
        <v>Desk</v>
      </c>
      <c r="B8">
        <f>SUMIFS(orders!$H$2:$H$125, orders!$G$2:$G$125, $A8, orders!$O$2:$O$125, B$3)</f>
        <v>0</v>
      </c>
      <c r="C8">
        <f>SUMIFS(orders!$H$2:$H$125, orders!$G$2:$G$125, $A8, orders!$O$2:$O$125, C$3)</f>
        <v>25</v>
      </c>
      <c r="D8">
        <f>SUMIFS(orders!$H$2:$H$125, orders!$G$2:$G$125, $A8, orders!$O$2:$O$125, D$3)</f>
        <v>11</v>
      </c>
      <c r="E8">
        <f>SUMIFS(orders!$H$2:$H$125, orders!$G$2:$G$125, $A8, orders!$O$2:$O$125, E$3)</f>
        <v>15</v>
      </c>
      <c r="F8" s="59">
        <f>SUM(B8:E8)</f>
        <v>51</v>
      </c>
    </row>
    <row r="9" spans="1:6" x14ac:dyDescent="0.25">
      <c r="A9" s="59" t="s">
        <v>264</v>
      </c>
      <c r="B9" s="59">
        <f>SUM(B4:B8)</f>
        <v>3</v>
      </c>
      <c r="C9" s="59">
        <f t="shared" ref="C9:E9" si="1">SUM(C4:C8)</f>
        <v>115</v>
      </c>
      <c r="D9" s="59">
        <f t="shared" si="1"/>
        <v>118</v>
      </c>
      <c r="E9" s="59">
        <f t="shared" si="1"/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2"/>
  <sheetViews>
    <sheetView showGridLines="0" workbookViewId="0"/>
  </sheetViews>
  <sheetFormatPr defaultColWidth="12.6640625" defaultRowHeight="15.75" customHeight="1" x14ac:dyDescent="0.25"/>
  <sheetData>
    <row r="1" spans="1:7" ht="15.75" customHeight="1" x14ac:dyDescent="0.25">
      <c r="A1" s="34" t="s">
        <v>261</v>
      </c>
      <c r="B1" s="34" t="s">
        <v>6</v>
      </c>
      <c r="C1" s="44"/>
      <c r="D1" s="44"/>
      <c r="E1" s="44"/>
      <c r="F1" s="44"/>
      <c r="G1" s="45"/>
    </row>
    <row r="2" spans="1:7" ht="15.75" customHeight="1" x14ac:dyDescent="0.25">
      <c r="A2" s="34" t="s">
        <v>10</v>
      </c>
      <c r="B2" s="46" t="s">
        <v>53</v>
      </c>
      <c r="C2" s="47" t="s">
        <v>37</v>
      </c>
      <c r="D2" s="47" t="s">
        <v>29</v>
      </c>
      <c r="E2" s="47" t="s">
        <v>24</v>
      </c>
      <c r="F2" s="47" t="s">
        <v>19</v>
      </c>
      <c r="G2" s="48" t="s">
        <v>262</v>
      </c>
    </row>
    <row r="3" spans="1:7" ht="15.75" customHeight="1" x14ac:dyDescent="0.25">
      <c r="A3" s="49">
        <v>0</v>
      </c>
      <c r="B3" s="50"/>
      <c r="C3" s="51"/>
      <c r="D3" s="51">
        <v>90000</v>
      </c>
      <c r="E3" s="51"/>
      <c r="F3" s="51"/>
      <c r="G3" s="37">
        <v>90000</v>
      </c>
    </row>
    <row r="4" spans="1:7" ht="15.75" customHeight="1" x14ac:dyDescent="0.25">
      <c r="A4" s="52">
        <v>0.02</v>
      </c>
      <c r="B4" s="53">
        <v>0</v>
      </c>
      <c r="C4" s="54"/>
      <c r="D4" s="54"/>
      <c r="E4" s="54"/>
      <c r="F4" s="54"/>
      <c r="G4" s="39">
        <v>0</v>
      </c>
    </row>
    <row r="5" spans="1:7" ht="15.75" customHeight="1" x14ac:dyDescent="0.25">
      <c r="A5" s="52">
        <v>0.03</v>
      </c>
      <c r="B5" s="53">
        <v>36860</v>
      </c>
      <c r="C5" s="54"/>
      <c r="D5" s="54">
        <v>122220</v>
      </c>
      <c r="E5" s="54">
        <v>7275</v>
      </c>
      <c r="F5" s="54">
        <v>34920</v>
      </c>
      <c r="G5" s="39">
        <v>201275</v>
      </c>
    </row>
    <row r="6" spans="1:7" ht="15.75" customHeight="1" x14ac:dyDescent="0.25">
      <c r="A6" s="52">
        <v>0.04</v>
      </c>
      <c r="B6" s="53">
        <v>45600</v>
      </c>
      <c r="C6" s="54"/>
      <c r="D6" s="54">
        <v>241920</v>
      </c>
      <c r="E6" s="54">
        <v>36000</v>
      </c>
      <c r="F6" s="54">
        <v>80640</v>
      </c>
      <c r="G6" s="39">
        <v>404160</v>
      </c>
    </row>
    <row r="7" spans="1:7" ht="15.75" customHeight="1" x14ac:dyDescent="0.25">
      <c r="A7" s="52">
        <v>0.05</v>
      </c>
      <c r="B7" s="53">
        <v>36100</v>
      </c>
      <c r="C7" s="54">
        <v>470250</v>
      </c>
      <c r="D7" s="54">
        <v>427500</v>
      </c>
      <c r="E7" s="54">
        <v>35625</v>
      </c>
      <c r="F7" s="54">
        <v>467400</v>
      </c>
      <c r="G7" s="39">
        <v>1436875</v>
      </c>
    </row>
    <row r="8" spans="1:7" ht="15.75" customHeight="1" x14ac:dyDescent="0.25">
      <c r="A8" s="52">
        <v>0.06</v>
      </c>
      <c r="B8" s="53">
        <v>205390</v>
      </c>
      <c r="C8" s="54">
        <v>672100</v>
      </c>
      <c r="D8" s="54">
        <v>304560</v>
      </c>
      <c r="E8" s="54">
        <v>49350</v>
      </c>
      <c r="F8" s="54">
        <v>124080</v>
      </c>
      <c r="G8" s="39">
        <v>1355480</v>
      </c>
    </row>
    <row r="9" spans="1:7" ht="15.75" customHeight="1" x14ac:dyDescent="0.25">
      <c r="A9" s="52">
        <v>7.0000000000000007E-2</v>
      </c>
      <c r="B9" s="53">
        <v>35340</v>
      </c>
      <c r="C9" s="54">
        <v>869550</v>
      </c>
      <c r="D9" s="54">
        <v>66960</v>
      </c>
      <c r="E9" s="54"/>
      <c r="F9" s="54">
        <v>44640</v>
      </c>
      <c r="G9" s="39">
        <v>1016490</v>
      </c>
    </row>
    <row r="10" spans="1:7" ht="15.75" customHeight="1" x14ac:dyDescent="0.25">
      <c r="A10" s="52">
        <v>0.08</v>
      </c>
      <c r="B10" s="53"/>
      <c r="C10" s="54">
        <v>0</v>
      </c>
      <c r="D10" s="54">
        <v>662400</v>
      </c>
      <c r="E10" s="54">
        <v>13800</v>
      </c>
      <c r="F10" s="54"/>
      <c r="G10" s="39">
        <v>676200</v>
      </c>
    </row>
    <row r="11" spans="1:7" ht="15.75" customHeight="1" x14ac:dyDescent="0.25">
      <c r="A11" s="52">
        <v>1</v>
      </c>
      <c r="B11" s="53"/>
      <c r="C11" s="54">
        <v>0</v>
      </c>
      <c r="D11" s="54"/>
      <c r="E11" s="54"/>
      <c r="F11" s="54"/>
      <c r="G11" s="39">
        <v>0</v>
      </c>
    </row>
    <row r="12" spans="1:7" ht="15.75" customHeight="1" x14ac:dyDescent="0.25">
      <c r="A12" s="55" t="s">
        <v>262</v>
      </c>
      <c r="B12" s="56">
        <v>359290</v>
      </c>
      <c r="C12" s="57">
        <v>2011900</v>
      </c>
      <c r="D12" s="57">
        <v>1915560</v>
      </c>
      <c r="E12" s="57">
        <v>142050</v>
      </c>
      <c r="F12" s="57">
        <v>751680</v>
      </c>
      <c r="G12" s="41">
        <v>5180480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</vt:lpstr>
      <vt:lpstr>orders</vt:lpstr>
      <vt:lpstr>Questions</vt:lpstr>
      <vt:lpstr>Net Revenue by Region</vt:lpstr>
      <vt:lpstr>Product Sold</vt:lpstr>
      <vt:lpstr>Higher 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MISHRA</dc:creator>
  <cp:lastModifiedBy>SAKSHI MISHRA</cp:lastModifiedBy>
  <dcterms:created xsi:type="dcterms:W3CDTF">2025-12-18T18:48:39Z</dcterms:created>
  <dcterms:modified xsi:type="dcterms:W3CDTF">2025-12-18T18:48:39Z</dcterms:modified>
</cp:coreProperties>
</file>