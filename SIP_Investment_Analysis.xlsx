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411b06bc18884fc4/Desktop/PROJECTS/"/>
    </mc:Choice>
  </mc:AlternateContent>
  <xr:revisionPtr revIDLastSave="0" documentId="8_{E630C147-ECC5-495E-914A-EBBD4456495F}" xr6:coauthVersionLast="47" xr6:coauthVersionMax="47" xr10:uidLastSave="{00000000-0000-0000-0000-000000000000}"/>
  <bookViews>
    <workbookView xWindow="-108" yWindow="-108" windowWidth="23256" windowHeight="12456" tabRatio="871" firstSheet="9" activeTab="9" xr2:uid="{00000000-000D-0000-FFFF-FFFF00000000}"/>
  </bookViews>
  <sheets>
    <sheet name="Introduction" sheetId="21" r:id="rId1"/>
    <sheet name="Sheet14" sheetId="54" r:id="rId2"/>
    <sheet name="Sheet15" sheetId="55" r:id="rId3"/>
    <sheet name="Sheet16" sheetId="56" r:id="rId4"/>
    <sheet name="Sheet17" sheetId="57" r:id="rId5"/>
    <sheet name="Sheet18" sheetId="58" r:id="rId6"/>
    <sheet name="Sheet19" sheetId="59" r:id="rId7"/>
    <sheet name="Sheet20" sheetId="60" r:id="rId8"/>
    <sheet name="Sheet21" sheetId="61" r:id="rId9"/>
    <sheet name="Question " sheetId="39" r:id="rId10"/>
    <sheet name="MF Data" sheetId="38" r:id="rId11"/>
    <sheet name="Presentation" sheetId="3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6" i="21" l="1"/>
  <c r="O26" i="21"/>
  <c r="L91" i="21"/>
  <c r="L90" i="21"/>
  <c r="G37" i="21"/>
  <c r="C38" i="21"/>
  <c r="N12" i="21"/>
  <c r="L11" i="21"/>
  <c r="L12" i="21" s="1"/>
  <c r="M7" i="21"/>
  <c r="O7" i="21"/>
  <c r="N7" i="21"/>
  <c r="M5" i="21"/>
  <c r="F5" i="38"/>
  <c r="F4" i="38"/>
  <c r="K76" i="21"/>
  <c r="H77" i="21"/>
  <c r="D58" i="21"/>
  <c r="E57" i="21" s="1"/>
  <c r="G50" i="21"/>
  <c r="D58" i="37"/>
  <c r="D57" i="37"/>
  <c r="D56" i="37"/>
  <c r="D55" i="37"/>
  <c r="D54" i="37"/>
  <c r="D53" i="37"/>
  <c r="D52" i="37"/>
  <c r="D51" i="37"/>
  <c r="D50" i="37"/>
  <c r="D49" i="37"/>
  <c r="D48" i="37"/>
  <c r="D47" i="37"/>
  <c r="D46" i="37"/>
  <c r="D45" i="37"/>
  <c r="D44" i="37"/>
  <c r="D43" i="37"/>
  <c r="D42" i="37"/>
  <c r="D41" i="37"/>
  <c r="D40" i="37"/>
  <c r="D39" i="37"/>
  <c r="D38" i="37"/>
  <c r="D37" i="37"/>
  <c r="D36" i="37"/>
  <c r="D35" i="37"/>
  <c r="D34" i="37"/>
  <c r="D33" i="37"/>
  <c r="D32" i="37"/>
  <c r="D31" i="37"/>
  <c r="D30" i="37"/>
  <c r="D29" i="37"/>
  <c r="D28" i="37"/>
  <c r="D27" i="37"/>
  <c r="D26" i="37"/>
  <c r="D25" i="37"/>
  <c r="D24" i="37"/>
  <c r="D23" i="37"/>
  <c r="D22" i="37"/>
  <c r="D21" i="37"/>
  <c r="D20" i="37"/>
  <c r="D19" i="37"/>
  <c r="D18" i="37"/>
  <c r="D17" i="37"/>
  <c r="D16" i="37"/>
  <c r="D15" i="37"/>
  <c r="D14" i="37"/>
  <c r="D13" i="37"/>
  <c r="B12" i="37"/>
  <c r="O60" i="37"/>
  <c r="N59" i="37"/>
  <c r="O12" i="37"/>
  <c r="G60" i="37"/>
  <c r="A60" i="37"/>
  <c r="J58" i="37"/>
  <c r="J57" i="37"/>
  <c r="J56" i="37"/>
  <c r="J55" i="37"/>
  <c r="J54" i="37"/>
  <c r="J53" i="37"/>
  <c r="J52" i="37"/>
  <c r="J51" i="37"/>
  <c r="J50" i="37"/>
  <c r="J49" i="37"/>
  <c r="J48" i="37"/>
  <c r="J47" i="37"/>
  <c r="J46" i="37"/>
  <c r="J45" i="37"/>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D12" i="37"/>
  <c r="H59" i="37"/>
  <c r="H58" i="37"/>
  <c r="I58" i="37" s="1"/>
  <c r="H57" i="37"/>
  <c r="H56" i="37"/>
  <c r="H55" i="37"/>
  <c r="H54" i="37"/>
  <c r="H53" i="37"/>
  <c r="I53" i="37" s="1"/>
  <c r="H52" i="37"/>
  <c r="H51" i="37"/>
  <c r="H50" i="37"/>
  <c r="H49" i="37"/>
  <c r="I49" i="37" s="1"/>
  <c r="H48" i="37"/>
  <c r="H47" i="37"/>
  <c r="H46" i="37"/>
  <c r="H45" i="37"/>
  <c r="H44" i="37"/>
  <c r="H43" i="37"/>
  <c r="H42" i="37"/>
  <c r="H41" i="37"/>
  <c r="I41" i="37" s="1"/>
  <c r="H40" i="37"/>
  <c r="H39" i="37"/>
  <c r="H38" i="37"/>
  <c r="H37" i="37"/>
  <c r="H36" i="37"/>
  <c r="H35" i="37"/>
  <c r="H34" i="37"/>
  <c r="H33" i="37"/>
  <c r="H32" i="37"/>
  <c r="H31" i="37"/>
  <c r="H30" i="37"/>
  <c r="H29" i="37"/>
  <c r="I29" i="37" s="1"/>
  <c r="H28" i="37"/>
  <c r="H27" i="37"/>
  <c r="H26" i="37"/>
  <c r="H25" i="37"/>
  <c r="H24" i="37"/>
  <c r="H23" i="37"/>
  <c r="H22" i="37"/>
  <c r="H21" i="37"/>
  <c r="H20" i="37"/>
  <c r="H19" i="37"/>
  <c r="H18" i="37"/>
  <c r="H17" i="37"/>
  <c r="I17" i="37" s="1"/>
  <c r="H16" i="37"/>
  <c r="H15" i="37"/>
  <c r="H14" i="37"/>
  <c r="H13" i="37"/>
  <c r="H12" i="37"/>
  <c r="B59" i="37"/>
  <c r="B58" i="37"/>
  <c r="B57" i="37"/>
  <c r="B56" i="37"/>
  <c r="B55" i="37"/>
  <c r="B54" i="37"/>
  <c r="B53" i="37"/>
  <c r="B52" i="37"/>
  <c r="B51" i="37"/>
  <c r="B50" i="37"/>
  <c r="B49" i="37"/>
  <c r="B48" i="37"/>
  <c r="B47" i="37"/>
  <c r="B46" i="37"/>
  <c r="B45" i="37"/>
  <c r="B44" i="37"/>
  <c r="B43" i="37"/>
  <c r="B42" i="37"/>
  <c r="B41" i="37"/>
  <c r="B40" i="37"/>
  <c r="B39" i="37"/>
  <c r="B38" i="37"/>
  <c r="B37" i="37"/>
  <c r="B36" i="37"/>
  <c r="B35" i="37"/>
  <c r="B34" i="37"/>
  <c r="B33" i="37"/>
  <c r="B32" i="37"/>
  <c r="B31" i="37"/>
  <c r="B30" i="37"/>
  <c r="B29" i="37"/>
  <c r="B28" i="37"/>
  <c r="B27" i="37"/>
  <c r="B26" i="37"/>
  <c r="B25" i="37"/>
  <c r="B24" i="37"/>
  <c r="B23" i="37"/>
  <c r="B22" i="37"/>
  <c r="B21" i="37"/>
  <c r="B20" i="37"/>
  <c r="B19" i="37"/>
  <c r="B18" i="37"/>
  <c r="B17" i="37"/>
  <c r="B16" i="37"/>
  <c r="B15" i="37"/>
  <c r="B14" i="37"/>
  <c r="B13" i="37"/>
  <c r="G51" i="38"/>
  <c r="G4" i="38"/>
  <c r="I13" i="37" l="1"/>
  <c r="K13" i="37" s="1"/>
  <c r="K14" i="37" s="1"/>
  <c r="I25" i="37"/>
  <c r="I37" i="37"/>
  <c r="I21" i="37"/>
  <c r="I33" i="37"/>
  <c r="I45" i="37"/>
  <c r="I57" i="37"/>
  <c r="C14" i="37"/>
  <c r="C18" i="37"/>
  <c r="C22" i="37"/>
  <c r="C26" i="37"/>
  <c r="C30" i="37"/>
  <c r="C34" i="37"/>
  <c r="C38" i="37"/>
  <c r="C42" i="37"/>
  <c r="C46" i="37"/>
  <c r="C50" i="37"/>
  <c r="C54" i="37"/>
  <c r="C58" i="37"/>
  <c r="I14" i="37"/>
  <c r="I18" i="37"/>
  <c r="I22" i="37"/>
  <c r="I26" i="37"/>
  <c r="I30" i="37"/>
  <c r="I34" i="37"/>
  <c r="I38" i="37"/>
  <c r="I42" i="37"/>
  <c r="I46" i="37"/>
  <c r="I50" i="37"/>
  <c r="I54" i="37"/>
  <c r="C17" i="37"/>
  <c r="C21" i="37"/>
  <c r="C25" i="37"/>
  <c r="C29" i="37"/>
  <c r="C33" i="37"/>
  <c r="C37" i="37"/>
  <c r="C41" i="37"/>
  <c r="C45" i="37"/>
  <c r="C49" i="37"/>
  <c r="C53" i="37"/>
  <c r="C57" i="37"/>
  <c r="C15" i="37"/>
  <c r="C19" i="37"/>
  <c r="C23" i="37"/>
  <c r="C27" i="37"/>
  <c r="C31" i="37"/>
  <c r="C35" i="37"/>
  <c r="C39" i="37"/>
  <c r="C43" i="37"/>
  <c r="C47" i="37"/>
  <c r="C51" i="37"/>
  <c r="C55" i="37"/>
  <c r="C59" i="37"/>
  <c r="I15" i="37"/>
  <c r="I19" i="37"/>
  <c r="I23" i="37"/>
  <c r="I27" i="37"/>
  <c r="I31" i="37"/>
  <c r="I35" i="37"/>
  <c r="I39" i="37"/>
  <c r="I43" i="37"/>
  <c r="I47" i="37"/>
  <c r="I51" i="37"/>
  <c r="I55" i="37"/>
  <c r="C16" i="37"/>
  <c r="C20" i="37"/>
  <c r="C24" i="37"/>
  <c r="C28" i="37"/>
  <c r="C32" i="37"/>
  <c r="C36" i="37"/>
  <c r="C40" i="37"/>
  <c r="C44" i="37"/>
  <c r="C48" i="37"/>
  <c r="C52" i="37"/>
  <c r="C56" i="37"/>
  <c r="I16" i="37"/>
  <c r="I20" i="37"/>
  <c r="I24" i="37"/>
  <c r="I28" i="37"/>
  <c r="I32" i="37"/>
  <c r="I36" i="37"/>
  <c r="I40" i="37"/>
  <c r="I44" i="37"/>
  <c r="I48" i="37"/>
  <c r="I52" i="37"/>
  <c r="I56" i="37"/>
  <c r="I59" i="37"/>
  <c r="C13" i="37"/>
  <c r="E13" i="37" s="1"/>
  <c r="N16" i="37"/>
  <c r="N15" i="37"/>
  <c r="N19" i="37"/>
  <c r="N23" i="37"/>
  <c r="N27" i="37"/>
  <c r="N31" i="37"/>
  <c r="N35" i="37"/>
  <c r="N39" i="37"/>
  <c r="N43" i="37"/>
  <c r="N47" i="37"/>
  <c r="N51" i="37"/>
  <c r="N55" i="37"/>
  <c r="N28" i="37"/>
  <c r="N44" i="37"/>
  <c r="N17" i="37"/>
  <c r="N21" i="37"/>
  <c r="N25" i="37"/>
  <c r="N29" i="37"/>
  <c r="N33" i="37"/>
  <c r="N37" i="37"/>
  <c r="N41" i="37"/>
  <c r="N45" i="37"/>
  <c r="N49" i="37"/>
  <c r="N53" i="37"/>
  <c r="N57" i="37"/>
  <c r="N24" i="37"/>
  <c r="N52" i="37"/>
  <c r="N20" i="37"/>
  <c r="N32" i="37"/>
  <c r="N36" i="37"/>
  <c r="N40" i="37"/>
  <c r="N48" i="37"/>
  <c r="N56" i="37"/>
  <c r="N14" i="37"/>
  <c r="N18" i="37"/>
  <c r="N22" i="37"/>
  <c r="N26" i="37"/>
  <c r="N30" i="37"/>
  <c r="N34" i="37"/>
  <c r="N38" i="37"/>
  <c r="N42" i="37"/>
  <c r="N46" i="37"/>
  <c r="N50" i="37"/>
  <c r="N54" i="37"/>
  <c r="N58" i="37"/>
  <c r="N13" i="37"/>
  <c r="N12" i="37"/>
  <c r="E14" i="37" l="1"/>
  <c r="O14" i="37" s="1"/>
  <c r="K15" i="37"/>
  <c r="K16" i="37" s="1"/>
  <c r="K17" i="37" s="1"/>
  <c r="K18" i="37" s="1"/>
  <c r="K19" i="37" s="1"/>
  <c r="K20" i="37" s="1"/>
  <c r="O13" i="37"/>
  <c r="E15" i="37" l="1"/>
  <c r="E16" i="37" s="1"/>
  <c r="K21" i="37"/>
  <c r="K22" i="37" s="1"/>
  <c r="K23" i="37" s="1"/>
  <c r="K24" i="37" s="1"/>
  <c r="K25" i="37" s="1"/>
  <c r="K26" i="37" s="1"/>
  <c r="K27" i="37" s="1"/>
  <c r="K28" i="37" s="1"/>
  <c r="K29" i="37" s="1"/>
  <c r="K30" i="37" s="1"/>
  <c r="K31" i="37" s="1"/>
  <c r="K32" i="37" s="1"/>
  <c r="K33" i="37" s="1"/>
  <c r="K34" i="37" s="1"/>
  <c r="K35" i="37" s="1"/>
  <c r="K36" i="37" s="1"/>
  <c r="K37" i="37" s="1"/>
  <c r="K38" i="37" s="1"/>
  <c r="K39" i="37" s="1"/>
  <c r="K40" i="37" s="1"/>
  <c r="K41" i="37" s="1"/>
  <c r="K42" i="37" s="1"/>
  <c r="K43" i="37" s="1"/>
  <c r="K44" i="37" s="1"/>
  <c r="K45" i="37" s="1"/>
  <c r="K46" i="37" s="1"/>
  <c r="K47" i="37" s="1"/>
  <c r="K48" i="37" s="1"/>
  <c r="K49" i="37" s="1"/>
  <c r="K50" i="37" s="1"/>
  <c r="K51" i="37" s="1"/>
  <c r="K52" i="37" s="1"/>
  <c r="K53" i="37" s="1"/>
  <c r="K54" i="37" s="1"/>
  <c r="K55" i="37" s="1"/>
  <c r="K56" i="37" s="1"/>
  <c r="K57" i="37" s="1"/>
  <c r="K58" i="37" s="1"/>
  <c r="O15" i="37" l="1"/>
  <c r="E17" i="37"/>
  <c r="O16" i="37"/>
  <c r="E18" i="37" l="1"/>
  <c r="O17" i="37"/>
  <c r="E19" i="37" l="1"/>
  <c r="O18" i="37"/>
  <c r="E20" i="37" l="1"/>
  <c r="O19" i="37"/>
  <c r="E21" i="37" l="1"/>
  <c r="O20" i="37"/>
  <c r="E22" i="37" l="1"/>
  <c r="O21" i="37"/>
  <c r="I70" i="21"/>
  <c r="L69" i="21"/>
  <c r="C77" i="21"/>
  <c r="C76" i="21"/>
  <c r="E60" i="21"/>
  <c r="E49" i="21" s="1"/>
  <c r="C53" i="21"/>
  <c r="C50" i="21" s="1"/>
  <c r="E23" i="37" l="1"/>
  <c r="O22" i="37"/>
  <c r="E24" i="37" l="1"/>
  <c r="O23" i="37"/>
  <c r="E25" i="37" l="1"/>
  <c r="O24" i="37"/>
  <c r="E26" i="37" l="1"/>
  <c r="O25" i="37"/>
  <c r="E27" i="37" l="1"/>
  <c r="O26" i="37"/>
  <c r="E28" i="37" l="1"/>
  <c r="O27" i="37"/>
  <c r="E29" i="37" l="1"/>
  <c r="O28" i="37"/>
  <c r="E30" i="37" l="1"/>
  <c r="O29" i="37"/>
  <c r="E31" i="37" l="1"/>
  <c r="O30" i="37"/>
  <c r="E32" i="37" l="1"/>
  <c r="O31" i="37"/>
  <c r="E33" i="37" l="1"/>
  <c r="O32" i="37"/>
  <c r="E34" i="37" l="1"/>
  <c r="O33" i="37"/>
  <c r="E35" i="37" l="1"/>
  <c r="O34" i="37"/>
  <c r="E36" i="37" l="1"/>
  <c r="O35" i="37"/>
  <c r="E37" i="37" l="1"/>
  <c r="O36" i="37"/>
  <c r="E38" i="37" l="1"/>
  <c r="O37" i="37"/>
  <c r="K59" i="37"/>
  <c r="J60" i="37" s="1"/>
  <c r="I61" i="37" s="1"/>
  <c r="E39" i="37" l="1"/>
  <c r="O38" i="37"/>
  <c r="E40" i="37" l="1"/>
  <c r="O39" i="37"/>
  <c r="E41" i="37" l="1"/>
  <c r="O40" i="37"/>
  <c r="E42" i="37" l="1"/>
  <c r="O41" i="37"/>
  <c r="E43" i="37" l="1"/>
  <c r="O42" i="37"/>
  <c r="E44" i="37" l="1"/>
  <c r="O43" i="37"/>
  <c r="E45" i="37" l="1"/>
  <c r="O44" i="37"/>
  <c r="E46" i="37" l="1"/>
  <c r="O45" i="37"/>
  <c r="E47" i="37" l="1"/>
  <c r="O46" i="37"/>
  <c r="E48" i="37" l="1"/>
  <c r="O47" i="37"/>
  <c r="E49" i="37" l="1"/>
  <c r="O48" i="37"/>
  <c r="E50" i="37" l="1"/>
  <c r="O49" i="37"/>
  <c r="E51" i="37" l="1"/>
  <c r="O50" i="37"/>
  <c r="E52" i="37" l="1"/>
  <c r="O51" i="37"/>
  <c r="E53" i="37" l="1"/>
  <c r="O52" i="37"/>
  <c r="E54" i="37" l="1"/>
  <c r="O53" i="37"/>
  <c r="E55" i="37" l="1"/>
  <c r="O54" i="37"/>
  <c r="E56" i="37" l="1"/>
  <c r="O55" i="37"/>
  <c r="E57" i="37" l="1"/>
  <c r="O56" i="37"/>
  <c r="E58" i="37" l="1"/>
  <c r="O57" i="37"/>
  <c r="E59" i="37" l="1"/>
  <c r="O58" i="37"/>
  <c r="D60" i="37" l="1"/>
  <c r="D63" i="37" s="1"/>
  <c r="O59" i="37"/>
  <c r="C62" i="37" l="1"/>
  <c r="D61" i="37"/>
  <c r="N60" i="37"/>
  <c r="C61" i="37"/>
  <c r="G5" i="37" l="1"/>
  <c r="N61" i="37"/>
  <c r="G6" i="37" s="1"/>
  <c r="J2" i="37" l="1"/>
  <c r="S2" i="37"/>
</calcChain>
</file>

<file path=xl/sharedStrings.xml><?xml version="1.0" encoding="utf-8"?>
<sst xmlns="http://schemas.openxmlformats.org/spreadsheetml/2006/main" count="242" uniqueCount="149">
  <si>
    <t>Year</t>
  </si>
  <si>
    <t>Rate</t>
  </si>
  <si>
    <t>Discounting</t>
  </si>
  <si>
    <t>FV= PV*(1+R)^N</t>
  </si>
  <si>
    <t>PV</t>
  </si>
  <si>
    <t>EMI</t>
  </si>
  <si>
    <t>Future Value</t>
  </si>
  <si>
    <t>FV</t>
  </si>
  <si>
    <t>Present Value</t>
  </si>
  <si>
    <t>Returns</t>
  </si>
  <si>
    <t>TVM</t>
  </si>
  <si>
    <t>Life is all about making choices so in finance we have choices</t>
  </si>
  <si>
    <t>Eg</t>
  </si>
  <si>
    <t>If we want to buy a car -Buy in cash/loan</t>
  </si>
  <si>
    <t>Redeem your investment to pay off your personal oan</t>
  </si>
  <si>
    <t>It all depends on value of money today and what will be its value in future.</t>
  </si>
  <si>
    <t>This concept is called TVM</t>
  </si>
  <si>
    <t>TVM is important concept which helps in making finance decision</t>
  </si>
  <si>
    <t>What is TVM</t>
  </si>
  <si>
    <t>Two important concept of TVM</t>
  </si>
  <si>
    <t>How to calculate.</t>
  </si>
  <si>
    <t>so will dicuss</t>
  </si>
  <si>
    <t xml:space="preserve">Ans - </t>
  </si>
  <si>
    <t>TVM means in passage of time the value of money changes</t>
  </si>
  <si>
    <t>Today Rs 100 in next 2 Years it will not remain Rs 100 &amp; 2 years ago its value was more than todays Rs 100</t>
  </si>
  <si>
    <t xml:space="preserve">Ans </t>
  </si>
  <si>
    <t>It helps in taking loan decesion</t>
  </si>
  <si>
    <t>Why currency is depreciated</t>
  </si>
  <si>
    <t>Help in choosing the best asset class</t>
  </si>
  <si>
    <t>It is important to understand TVM because</t>
  </si>
  <si>
    <t>Option A</t>
  </si>
  <si>
    <t>Option B</t>
  </si>
  <si>
    <t>Rs 5000 Today</t>
  </si>
  <si>
    <t>Rs 5000 - One year later</t>
  </si>
  <si>
    <t>Rs 5500 - One year later</t>
  </si>
  <si>
    <t>Eg 1</t>
  </si>
  <si>
    <t>Eg 2</t>
  </si>
  <si>
    <t>So to come to a decesion we need to understand 2 important concepts</t>
  </si>
  <si>
    <t xml:space="preserve">Assume Opportunity Cost </t>
  </si>
  <si>
    <t>Compounding</t>
  </si>
  <si>
    <t>PV (1 + R)^N</t>
  </si>
  <si>
    <t>(1 + 8%) ^ 1</t>
  </si>
  <si>
    <t>Ans Eg 2</t>
  </si>
  <si>
    <t>(1 + R)^ N</t>
  </si>
  <si>
    <t>(1 + 8%)^1</t>
  </si>
  <si>
    <t>Opporunity cost impact is added in FV</t>
  </si>
  <si>
    <t>Opporunity cost impact is deducted in PV</t>
  </si>
  <si>
    <t>Eg 3</t>
  </si>
  <si>
    <t>Rs 10000 Today</t>
  </si>
  <si>
    <t>Rs 13310 - 3 year later</t>
  </si>
  <si>
    <t>NPER</t>
  </si>
  <si>
    <t>RATE</t>
  </si>
  <si>
    <t>Ans Eg 3</t>
  </si>
  <si>
    <t xml:space="preserve">So Cal </t>
  </si>
  <si>
    <t>FV for 10000</t>
  </si>
  <si>
    <t>PV for 13310</t>
  </si>
  <si>
    <t>TVM Iis also called present discounted vlue.</t>
  </si>
  <si>
    <t>What this means is whatever we have in the future is discounted if we look at its value today.</t>
  </si>
  <si>
    <t>Inflation has negative impact on us because as proce increade our purchasing power decreases</t>
  </si>
  <si>
    <t>TVM tells us that if inflation is to be beaten then investment will be made so that the amount of things you can buy today will be equal to that in future or you will be able to buy more of the same.</t>
  </si>
  <si>
    <t>PV = FV/(1+R)^N</t>
  </si>
  <si>
    <t>Growth</t>
  </si>
  <si>
    <t>Create emergency with your savings or use line of credit during emergency</t>
  </si>
  <si>
    <t>A</t>
  </si>
  <si>
    <t>B</t>
  </si>
  <si>
    <t>Equal to</t>
  </si>
  <si>
    <t>C</t>
  </si>
  <si>
    <t>Date</t>
  </si>
  <si>
    <t>XIRR</t>
  </si>
  <si>
    <t>XNPV</t>
  </si>
  <si>
    <t>PMT</t>
  </si>
  <si>
    <t>IRR</t>
  </si>
  <si>
    <t>NPV</t>
  </si>
  <si>
    <t>Type</t>
  </si>
  <si>
    <t>End of period</t>
  </si>
  <si>
    <t>Beginning of period</t>
  </si>
  <si>
    <t>Present Value - Lumpsum at beginning of the period</t>
  </si>
  <si>
    <t>Payment or Annunity - strem of equal payment</t>
  </si>
  <si>
    <t>Number of Period</t>
  </si>
  <si>
    <t>Annual Rate Interest</t>
  </si>
  <si>
    <t>Future Value - Lumpsum at the end of the period</t>
  </si>
  <si>
    <t>N</t>
  </si>
  <si>
    <t>R</t>
  </si>
  <si>
    <t>2013-2016- Franklin Tempelton Prima Plus</t>
  </si>
  <si>
    <t>2013-16 SBI Debt</t>
  </si>
  <si>
    <t>SIP Dates</t>
  </si>
  <si>
    <t>NAV</t>
  </si>
  <si>
    <t>FIPP</t>
  </si>
  <si>
    <t>SBI</t>
  </si>
  <si>
    <t>Fund Selection Case Study</t>
  </si>
  <si>
    <t>Alister Cook is a mutual fund advisor in wealth advisors LLP, a large wealth management firm with 2000 Cr AUM and 100 wealthy clients. Alister cook has been given the task to analyse mutual fund returns of two very well know mutual fund schemes, Franklin tempelton Prima plus and SBI Gilt fund. The client Mr. Bhushan has been a client of wealth advisors for a decade, and is expecting an optimum allocation strategy between these two funds. He is willing to invest 15000 in total in these two schemes per month. You have been given the task to analyse the mutual fund scheme with historical returns given to you in the data sheet and present your results. Following are the assumptions given to you:</t>
  </si>
  <si>
    <t>Investment Per Month</t>
  </si>
  <si>
    <t>Franklin Allocation</t>
  </si>
  <si>
    <t>SBI Allocation</t>
  </si>
  <si>
    <t>Tasks :</t>
  </si>
  <si>
    <r>
      <t>1.</t>
    </r>
    <r>
      <rPr>
        <sz val="7"/>
        <color rgb="FF000000"/>
        <rFont val="Times New Roman"/>
        <family val="1"/>
      </rPr>
      <t xml:space="preserve">       </t>
    </r>
    <r>
      <rPr>
        <sz val="11"/>
        <color rgb="FF000000"/>
        <rFont val="Calibri"/>
        <family val="2"/>
      </rPr>
      <t>Using the database given of the NAV of two funds find out the return generated on 03-11-2016 on both funds seperately, as well as the return generated on the overall portfolio. Considering the redemption date as 14-10-2016</t>
    </r>
  </si>
  <si>
    <r>
      <t>2.</t>
    </r>
    <r>
      <rPr>
        <sz val="7"/>
        <color rgb="FF000000"/>
        <rFont val="Times New Roman"/>
        <family val="1"/>
      </rPr>
      <t xml:space="preserve">       </t>
    </r>
    <r>
      <rPr>
        <sz val="11"/>
        <color rgb="FF000000"/>
        <rFont val="Calibri"/>
        <family val="2"/>
      </rPr>
      <t>Create a data table with different allocations possible</t>
    </r>
  </si>
  <si>
    <r>
      <t>3.</t>
    </r>
    <r>
      <rPr>
        <sz val="7"/>
        <color rgb="FF000000"/>
        <rFont val="Times New Roman"/>
        <family val="1"/>
      </rPr>
      <t xml:space="preserve">       </t>
    </r>
    <r>
      <rPr>
        <sz val="11"/>
        <color rgb="FF000000"/>
        <rFont val="Calibri"/>
        <family val="2"/>
      </rPr>
      <t>Compare returns of FIPP against NIFTY 50 and conclude your results</t>
    </r>
  </si>
  <si>
    <t>Points to remember</t>
  </si>
  <si>
    <r>
      <t>1.</t>
    </r>
    <r>
      <rPr>
        <sz val="7"/>
        <color rgb="FF000000"/>
        <rFont val="Times New Roman"/>
        <family val="1"/>
      </rPr>
      <t xml:space="preserve">       </t>
    </r>
    <r>
      <rPr>
        <sz val="11"/>
        <color rgb="FF000000"/>
        <rFont val="Calibri"/>
        <family val="2"/>
      </rPr>
      <t>There is no right or wrong answer in this case, although task 1 will have a certain answer</t>
    </r>
  </si>
  <si>
    <r>
      <t>2.</t>
    </r>
    <r>
      <rPr>
        <sz val="7"/>
        <color rgb="FF000000"/>
        <rFont val="Times New Roman"/>
        <family val="1"/>
      </rPr>
      <t xml:space="preserve">       </t>
    </r>
    <r>
      <rPr>
        <sz val="11"/>
        <color rgb="FF000000"/>
        <rFont val="Calibri"/>
        <family val="2"/>
      </rPr>
      <t>Write any other concerns you might have while presenting your results</t>
    </r>
  </si>
  <si>
    <r>
      <t>3.</t>
    </r>
    <r>
      <rPr>
        <sz val="7"/>
        <color rgb="FF000000"/>
        <rFont val="Times New Roman"/>
        <family val="1"/>
      </rPr>
      <t xml:space="preserve">       </t>
    </r>
    <r>
      <rPr>
        <sz val="11"/>
        <color rgb="FF000000"/>
        <rFont val="Calibri"/>
        <family val="2"/>
      </rPr>
      <t>You are free to calculate any additional metrics you may find appropriate.</t>
    </r>
  </si>
  <si>
    <t>Presentation</t>
  </si>
  <si>
    <r>
      <t>·</t>
    </r>
    <r>
      <rPr>
        <sz val="7"/>
        <color theme="1"/>
        <rFont val="Times New Roman"/>
        <family val="1"/>
      </rPr>
      <t xml:space="preserve">         </t>
    </r>
    <r>
      <rPr>
        <sz val="11"/>
        <color theme="1"/>
        <rFont val="Arial"/>
        <family val="2"/>
      </rPr>
      <t>You will create a ppt presentation with your data calculated in the excel model</t>
    </r>
  </si>
  <si>
    <r>
      <t>·</t>
    </r>
    <r>
      <rPr>
        <sz val="7"/>
        <color theme="1"/>
        <rFont val="Times New Roman"/>
        <family val="1"/>
      </rPr>
      <t xml:space="preserve">         </t>
    </r>
    <r>
      <rPr>
        <sz val="11"/>
        <color theme="1"/>
        <rFont val="Arial"/>
        <family val="2"/>
      </rPr>
      <t>You will record a self presented audio video presentation and upload in in the learning portal</t>
    </r>
  </si>
  <si>
    <r>
      <t>·</t>
    </r>
    <r>
      <rPr>
        <sz val="7"/>
        <color theme="1"/>
        <rFont val="Times New Roman"/>
        <family val="1"/>
      </rPr>
      <t xml:space="preserve">         </t>
    </r>
    <r>
      <rPr>
        <sz val="11"/>
        <color theme="1"/>
        <rFont val="Arial"/>
        <family val="2"/>
      </rPr>
      <t>Trainer along with panelists will ask you questions in the assignment interview</t>
    </r>
  </si>
  <si>
    <t>SIP</t>
  </si>
  <si>
    <t>Franklin</t>
  </si>
  <si>
    <t>Total Portfolio</t>
  </si>
  <si>
    <t>Portfolio</t>
  </si>
  <si>
    <t>Total SIP</t>
  </si>
  <si>
    <t>No of years</t>
  </si>
  <si>
    <t>Opprounity Rate</t>
  </si>
  <si>
    <t>fv</t>
  </si>
  <si>
    <t>Bhushan</t>
  </si>
  <si>
    <t>MF ACCOUNT</t>
  </si>
  <si>
    <t>Frank</t>
  </si>
  <si>
    <t>Revenue</t>
  </si>
  <si>
    <t>Growth Rate</t>
  </si>
  <si>
    <t>1Q24</t>
  </si>
  <si>
    <t>2Q24</t>
  </si>
  <si>
    <t>Margin</t>
  </si>
  <si>
    <t>Cost/Expenes</t>
  </si>
  <si>
    <t>Profit/loss</t>
  </si>
  <si>
    <t>% Revenue</t>
  </si>
  <si>
    <t>Y/Y</t>
  </si>
  <si>
    <t>Q/Q</t>
  </si>
  <si>
    <t xml:space="preserve">YEAR </t>
  </si>
  <si>
    <t>Qtr</t>
  </si>
  <si>
    <t>1q25</t>
  </si>
  <si>
    <t>2q25</t>
  </si>
  <si>
    <t>3q25</t>
  </si>
  <si>
    <t>4q25</t>
  </si>
  <si>
    <t>future value</t>
  </si>
  <si>
    <t>Presnt Value</t>
  </si>
  <si>
    <t>Excel</t>
  </si>
  <si>
    <t>Negative</t>
  </si>
  <si>
    <t>(1+R)</t>
  </si>
  <si>
    <t>PV*(1+R)^N</t>
  </si>
  <si>
    <t>MULITPLY</t>
  </si>
  <si>
    <t>DIV</t>
  </si>
  <si>
    <t>LIC PREMUIN</t>
  </si>
  <si>
    <t>QTr</t>
  </si>
  <si>
    <t>Semi</t>
  </si>
  <si>
    <t>monthly</t>
  </si>
  <si>
    <t>Equal Monthly Instalemnt</t>
  </si>
  <si>
    <t>PERIOD</t>
  </si>
  <si>
    <t>FIX</t>
  </si>
  <si>
    <t>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</si>
</sst>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6" formatCode="_(* #,##0.00_);_(* \(#,##0.00\);_(* &quot;-&quot;??_);_(@_)"/>
    <numFmt numFmtId="170" formatCode="_(* #,##0_);_(* \(#,##0\);_(* &quot;-&quot;??_);_(@_)"/>
    <numFmt numFmtId="172"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8"/>
      <color theme="1"/>
      <name val="Calibri"/>
      <family val="2"/>
      <scheme val="minor"/>
    </font>
    <font>
      <sz val="11"/>
      <color theme="1"/>
      <name val="Arial"/>
      <family val="2"/>
    </font>
    <font>
      <b/>
      <sz val="11"/>
      <color theme="1"/>
      <name val="Arial"/>
      <family val="2"/>
    </font>
    <font>
      <b/>
      <u/>
      <sz val="11"/>
      <color theme="1"/>
      <name val="Arial"/>
      <family val="2"/>
    </font>
    <font>
      <sz val="11"/>
      <color rgb="FF000000"/>
      <name val="Calibri"/>
      <family val="2"/>
    </font>
    <font>
      <b/>
      <sz val="11"/>
      <color rgb="FF000000"/>
      <name val="Calibri"/>
      <family val="2"/>
    </font>
    <font>
      <sz val="7"/>
      <color rgb="FF000000"/>
      <name val="Times New Roman"/>
      <family val="1"/>
    </font>
    <font>
      <sz val="11"/>
      <color theme="1"/>
      <name val="Symbol"/>
      <family val="1"/>
      <charset val="2"/>
    </font>
    <font>
      <sz val="7"/>
      <color theme="1"/>
      <name val="Times New Roman"/>
      <family val="1"/>
    </font>
  </fonts>
  <fills count="8">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166" fontId="1" fillId="0" borderId="0" applyFont="0" applyFill="0" applyBorder="0" applyAlignment="0" applyProtection="0"/>
  </cellStyleXfs>
  <cellXfs count="53">
    <xf numFmtId="0" fontId="0" fillId="0" borderId="0" xfId="0"/>
    <xf numFmtId="9" fontId="0" fillId="0" borderId="0" xfId="0" applyNumberFormat="1"/>
    <xf numFmtId="0" fontId="0" fillId="0" borderId="1" xfId="0" applyBorder="1"/>
    <xf numFmtId="9" fontId="0" fillId="0" borderId="1" xfId="0" applyNumberFormat="1" applyBorder="1"/>
    <xf numFmtId="9" fontId="0" fillId="0" borderId="0" xfId="1" applyFont="1"/>
    <xf numFmtId="10" fontId="0" fillId="0" borderId="0" xfId="1" applyNumberFormat="1" applyFont="1"/>
    <xf numFmtId="1" fontId="0" fillId="0" borderId="0" xfId="0" applyNumberFormat="1"/>
    <xf numFmtId="0" fontId="0" fillId="2" borderId="0" xfId="0" applyFill="1"/>
    <xf numFmtId="0" fontId="3" fillId="0" borderId="0" xfId="0" applyFont="1"/>
    <xf numFmtId="0" fontId="2" fillId="3" borderId="0" xfId="0" applyFont="1" applyFill="1"/>
    <xf numFmtId="0" fontId="0" fillId="4" borderId="0" xfId="0" applyFill="1"/>
    <xf numFmtId="170" fontId="2" fillId="4" borderId="0" xfId="2" applyNumberFormat="1" applyFont="1" applyFill="1"/>
    <xf numFmtId="14" fontId="0" fillId="0" borderId="1" xfId="0" applyNumberFormat="1" applyBorder="1"/>
    <xf numFmtId="14" fontId="0" fillId="0" borderId="0" xfId="0" applyNumberFormat="1"/>
    <xf numFmtId="166" fontId="0" fillId="0" borderId="0" xfId="2" applyFont="1"/>
    <xf numFmtId="1" fontId="0" fillId="2" borderId="0" xfId="0" applyNumberFormat="1" applyFill="1"/>
    <xf numFmtId="0" fontId="2" fillId="7" borderId="1" xfId="0" applyFont="1" applyFill="1" applyBorder="1"/>
    <xf numFmtId="0" fontId="4" fillId="6" borderId="6" xfId="0" applyFont="1" applyFill="1" applyBorder="1"/>
    <xf numFmtId="0" fontId="4" fillId="6" borderId="6" xfId="0" applyFont="1" applyFill="1" applyBorder="1" applyAlignment="1">
      <alignment horizontal="center"/>
    </xf>
    <xf numFmtId="14" fontId="0" fillId="7" borderId="1" xfId="0" applyNumberFormat="1" applyFill="1" applyBorder="1"/>
    <xf numFmtId="0" fontId="0" fillId="7" borderId="1" xfId="0" applyFill="1" applyBorder="1"/>
    <xf numFmtId="0" fontId="0" fillId="0" borderId="5" xfId="0" applyBorder="1"/>
    <xf numFmtId="0" fontId="0" fillId="0" borderId="3" xfId="0" applyBorder="1"/>
    <xf numFmtId="9" fontId="0" fillId="0" borderId="0" xfId="1" applyFont="1" applyFill="1" applyBorder="1"/>
    <xf numFmtId="172" fontId="0" fillId="0" borderId="0" xfId="1" applyNumberFormat="1" applyFont="1" applyFill="1" applyBorder="1"/>
    <xf numFmtId="172" fontId="0" fillId="0" borderId="0" xfId="1" applyNumberFormat="1" applyFont="1"/>
    <xf numFmtId="0" fontId="8" fillId="0" borderId="0" xfId="0" applyFont="1"/>
    <xf numFmtId="0" fontId="7" fillId="0" borderId="0" xfId="0" applyFont="1"/>
    <xf numFmtId="0" fontId="6" fillId="0" borderId="0" xfId="0" applyFont="1"/>
    <xf numFmtId="0" fontId="5" fillId="0" borderId="0" xfId="0" applyFont="1"/>
    <xf numFmtId="9" fontId="8" fillId="0" borderId="0" xfId="0" applyNumberFormat="1" applyFont="1"/>
    <xf numFmtId="0" fontId="9" fillId="0" borderId="0" xfId="0" applyFont="1"/>
    <xf numFmtId="0" fontId="11" fillId="0" borderId="0" xfId="0" applyFont="1"/>
    <xf numFmtId="166" fontId="0" fillId="0" borderId="1" xfId="2" applyFont="1" applyBorder="1"/>
    <xf numFmtId="166" fontId="2" fillId="7" borderId="1" xfId="2" applyFont="1" applyFill="1" applyBorder="1"/>
    <xf numFmtId="10" fontId="0" fillId="0" borderId="1" xfId="1" applyNumberFormat="1" applyFont="1" applyBorder="1"/>
    <xf numFmtId="166" fontId="0" fillId="0" borderId="1" xfId="0" applyNumberFormat="1" applyBorder="1"/>
    <xf numFmtId="10" fontId="0" fillId="2" borderId="1" xfId="1" applyNumberFormat="1" applyFont="1" applyFill="1" applyBorder="1"/>
    <xf numFmtId="10" fontId="0" fillId="0" borderId="1" xfId="1" applyNumberFormat="1" applyFont="1" applyFill="1" applyBorder="1"/>
    <xf numFmtId="164" fontId="0" fillId="0" borderId="0" xfId="0" applyNumberFormat="1"/>
    <xf numFmtId="9" fontId="0" fillId="2" borderId="0" xfId="0" applyNumberFormat="1" applyFill="1"/>
    <xf numFmtId="166" fontId="4" fillId="6" borderId="6" xfId="2" applyFont="1" applyFill="1" applyBorder="1" applyAlignment="1"/>
    <xf numFmtId="166" fontId="0" fillId="0" borderId="3" xfId="2" applyFont="1" applyFill="1" applyBorder="1"/>
    <xf numFmtId="166" fontId="0" fillId="0" borderId="0" xfId="2" applyFont="1" applyFill="1" applyBorder="1"/>
    <xf numFmtId="166" fontId="0" fillId="0" borderId="0" xfId="2" applyFont="1" applyFill="1"/>
    <xf numFmtId="166" fontId="0" fillId="0" borderId="0" xfId="0" applyNumberFormat="1"/>
    <xf numFmtId="0" fontId="3" fillId="2" borderId="0" xfId="0" applyFont="1" applyFill="1" applyAlignment="1">
      <alignment horizontal="center"/>
    </xf>
    <xf numFmtId="0" fontId="2" fillId="5" borderId="4" xfId="0" applyFont="1" applyFill="1" applyBorder="1" applyAlignment="1">
      <alignment horizontal="center"/>
    </xf>
    <xf numFmtId="0" fontId="2" fillId="5" borderId="2" xfId="0" applyFont="1" applyFill="1" applyBorder="1" applyAlignment="1">
      <alignment horizontal="center"/>
    </xf>
    <xf numFmtId="0" fontId="2" fillId="5" borderId="5" xfId="0" applyFont="1" applyFill="1" applyBorder="1" applyAlignment="1">
      <alignment horizontal="center"/>
    </xf>
    <xf numFmtId="0" fontId="2" fillId="5" borderId="3" xfId="0" applyFont="1" applyFill="1" applyBorder="1" applyAlignment="1">
      <alignment horizontal="center"/>
    </xf>
    <xf numFmtId="0" fontId="4" fillId="6" borderId="6" xfId="0" applyFont="1" applyFill="1" applyBorder="1" applyAlignment="1">
      <alignment horizontal="center"/>
    </xf>
    <xf numFmtId="0" fontId="4" fillId="6" borderId="0" xfId="0" applyFont="1" applyFill="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4"/>
  <sheetViews>
    <sheetView topLeftCell="AB85" workbookViewId="0">
      <selection activeCell="B101" sqref="B101"/>
    </sheetView>
  </sheetViews>
  <sheetFormatPr defaultRowHeight="14.4" x14ac:dyDescent="0.3"/>
  <cols>
    <col min="5" max="5" width="9.5546875" bestFit="1" customWidth="1"/>
    <col min="8" max="8" width="11.5546875" bestFit="1" customWidth="1"/>
  </cols>
  <sheetData>
    <row r="1" spans="1:16" x14ac:dyDescent="0.3">
      <c r="L1" t="s">
        <v>127</v>
      </c>
      <c r="M1">
        <v>2024</v>
      </c>
      <c r="N1">
        <v>2025</v>
      </c>
    </row>
    <row r="2" spans="1:16" x14ac:dyDescent="0.3">
      <c r="A2" t="s">
        <v>10</v>
      </c>
      <c r="L2" t="s">
        <v>128</v>
      </c>
      <c r="M2" t="s">
        <v>129</v>
      </c>
      <c r="N2" t="s">
        <v>130</v>
      </c>
      <c r="O2" t="s">
        <v>131</v>
      </c>
      <c r="P2" t="s">
        <v>132</v>
      </c>
    </row>
    <row r="3" spans="1:16" x14ac:dyDescent="0.3">
      <c r="L3" t="s">
        <v>119</v>
      </c>
      <c r="M3" t="s">
        <v>120</v>
      </c>
    </row>
    <row r="4" spans="1:16" x14ac:dyDescent="0.3">
      <c r="A4" t="s">
        <v>11</v>
      </c>
      <c r="K4" t="s">
        <v>117</v>
      </c>
      <c r="L4">
        <v>150</v>
      </c>
      <c r="M4">
        <v>200</v>
      </c>
    </row>
    <row r="5" spans="1:16" x14ac:dyDescent="0.3">
      <c r="A5" t="s">
        <v>12</v>
      </c>
      <c r="K5" t="s">
        <v>118</v>
      </c>
      <c r="M5" s="4">
        <f>M4/L4-1</f>
        <v>0.33333333333333326</v>
      </c>
    </row>
    <row r="6" spans="1:16" x14ac:dyDescent="0.3">
      <c r="A6">
        <v>1</v>
      </c>
      <c r="B6" t="s">
        <v>13</v>
      </c>
      <c r="K6" t="s">
        <v>125</v>
      </c>
      <c r="L6" t="s">
        <v>126</v>
      </c>
    </row>
    <row r="7" spans="1:16" x14ac:dyDescent="0.3">
      <c r="A7">
        <v>2</v>
      </c>
      <c r="B7" t="s">
        <v>14</v>
      </c>
      <c r="K7" t="s">
        <v>117</v>
      </c>
      <c r="L7">
        <v>150</v>
      </c>
      <c r="M7" s="7">
        <f>L7*(1+M8)</f>
        <v>199.5</v>
      </c>
      <c r="N7">
        <f>L7*M8</f>
        <v>49.5</v>
      </c>
      <c r="O7">
        <f>L7+N7</f>
        <v>199.5</v>
      </c>
    </row>
    <row r="8" spans="1:16" x14ac:dyDescent="0.3">
      <c r="A8">
        <v>3</v>
      </c>
      <c r="B8" t="s">
        <v>62</v>
      </c>
      <c r="K8" s="7" t="s">
        <v>118</v>
      </c>
      <c r="M8" s="4">
        <v>0.33</v>
      </c>
    </row>
    <row r="9" spans="1:16" x14ac:dyDescent="0.3">
      <c r="A9" t="s">
        <v>15</v>
      </c>
    </row>
    <row r="10" spans="1:16" x14ac:dyDescent="0.3">
      <c r="A10" t="s">
        <v>16</v>
      </c>
      <c r="K10" t="s">
        <v>117</v>
      </c>
      <c r="L10">
        <v>1000</v>
      </c>
      <c r="M10" t="s">
        <v>122</v>
      </c>
      <c r="N10">
        <v>800</v>
      </c>
    </row>
    <row r="11" spans="1:16" x14ac:dyDescent="0.3">
      <c r="K11" t="s">
        <v>123</v>
      </c>
      <c r="L11">
        <f>L10-N10</f>
        <v>200</v>
      </c>
    </row>
    <row r="12" spans="1:16" x14ac:dyDescent="0.3">
      <c r="A12" t="s">
        <v>17</v>
      </c>
      <c r="K12" s="7" t="s">
        <v>121</v>
      </c>
      <c r="L12" s="4">
        <f>L11/L10</f>
        <v>0.2</v>
      </c>
      <c r="M12" s="7" t="s">
        <v>124</v>
      </c>
      <c r="N12" s="4">
        <f>N10/L10</f>
        <v>0.8</v>
      </c>
    </row>
    <row r="13" spans="1:16" x14ac:dyDescent="0.3">
      <c r="A13" t="s">
        <v>21</v>
      </c>
    </row>
    <row r="15" spans="1:16" x14ac:dyDescent="0.3">
      <c r="A15">
        <v>1</v>
      </c>
      <c r="B15" t="s">
        <v>18</v>
      </c>
    </row>
    <row r="16" spans="1:16" x14ac:dyDescent="0.3">
      <c r="A16">
        <v>2</v>
      </c>
      <c r="B16" t="s">
        <v>19</v>
      </c>
    </row>
    <row r="17" spans="1:15" x14ac:dyDescent="0.3">
      <c r="A17">
        <v>3</v>
      </c>
      <c r="B17" t="s">
        <v>20</v>
      </c>
    </row>
    <row r="19" spans="1:15" x14ac:dyDescent="0.3">
      <c r="A19">
        <v>1</v>
      </c>
      <c r="B19" t="s">
        <v>18</v>
      </c>
    </row>
    <row r="20" spans="1:15" x14ac:dyDescent="0.3">
      <c r="A20" t="s">
        <v>22</v>
      </c>
      <c r="B20" t="s">
        <v>23</v>
      </c>
    </row>
    <row r="21" spans="1:15" x14ac:dyDescent="0.3">
      <c r="M21" t="s">
        <v>4</v>
      </c>
      <c r="N21">
        <v>8000</v>
      </c>
    </row>
    <row r="22" spans="1:15" x14ac:dyDescent="0.3">
      <c r="A22" t="s">
        <v>12</v>
      </c>
      <c r="B22" t="s">
        <v>24</v>
      </c>
      <c r="M22" t="s">
        <v>7</v>
      </c>
      <c r="N22">
        <v>10000</v>
      </c>
    </row>
    <row r="23" spans="1:15" x14ac:dyDescent="0.3">
      <c r="M23" t="s">
        <v>82</v>
      </c>
      <c r="N23" s="4">
        <v>0.25</v>
      </c>
    </row>
    <row r="24" spans="1:15" x14ac:dyDescent="0.3">
      <c r="A24">
        <v>2</v>
      </c>
      <c r="B24" t="s">
        <v>29</v>
      </c>
      <c r="M24" t="s">
        <v>81</v>
      </c>
      <c r="N24">
        <v>1</v>
      </c>
    </row>
    <row r="25" spans="1:15" x14ac:dyDescent="0.3">
      <c r="A25" t="s">
        <v>25</v>
      </c>
      <c r="B25" t="s">
        <v>26</v>
      </c>
      <c r="M25" t="s">
        <v>7</v>
      </c>
      <c r="N25" t="s">
        <v>4</v>
      </c>
      <c r="O25" t="s">
        <v>82</v>
      </c>
    </row>
    <row r="26" spans="1:15" x14ac:dyDescent="0.3">
      <c r="B26" t="s">
        <v>27</v>
      </c>
      <c r="M26">
        <f>N26+O26</f>
        <v>10000</v>
      </c>
      <c r="N26">
        <v>8000</v>
      </c>
      <c r="O26">
        <f>8000*25%</f>
        <v>2000</v>
      </c>
    </row>
    <row r="27" spans="1:15" x14ac:dyDescent="0.3">
      <c r="B27" t="s">
        <v>28</v>
      </c>
      <c r="M27" t="s">
        <v>7</v>
      </c>
      <c r="N27" t="s">
        <v>4</v>
      </c>
      <c r="O27" t="s">
        <v>137</v>
      </c>
    </row>
    <row r="28" spans="1:15" x14ac:dyDescent="0.3">
      <c r="N28" t="s">
        <v>138</v>
      </c>
    </row>
    <row r="29" spans="1:15" ht="47.25" customHeight="1" x14ac:dyDescent="0.3"/>
    <row r="30" spans="1:15" x14ac:dyDescent="0.3">
      <c r="A30" t="s">
        <v>35</v>
      </c>
      <c r="B30" s="7" t="s">
        <v>30</v>
      </c>
      <c r="D30" t="s">
        <v>31</v>
      </c>
    </row>
    <row r="31" spans="1:15" x14ac:dyDescent="0.3">
      <c r="B31" t="s">
        <v>32</v>
      </c>
      <c r="D31" t="s">
        <v>33</v>
      </c>
    </row>
    <row r="32" spans="1:15" x14ac:dyDescent="0.3">
      <c r="A32" t="s">
        <v>25</v>
      </c>
    </row>
    <row r="33" spans="1:16" x14ac:dyDescent="0.3">
      <c r="K33" t="s">
        <v>4</v>
      </c>
      <c r="N33" t="s">
        <v>3</v>
      </c>
      <c r="O33" t="s">
        <v>7</v>
      </c>
      <c r="P33" t="s">
        <v>139</v>
      </c>
    </row>
    <row r="34" spans="1:16" x14ac:dyDescent="0.3">
      <c r="K34" t="s">
        <v>111</v>
      </c>
      <c r="L34">
        <v>1</v>
      </c>
      <c r="N34" t="s">
        <v>60</v>
      </c>
      <c r="P34" t="s">
        <v>140</v>
      </c>
    </row>
    <row r="35" spans="1:16" x14ac:dyDescent="0.3">
      <c r="A35" t="s">
        <v>36</v>
      </c>
      <c r="B35" t="s">
        <v>30</v>
      </c>
      <c r="D35" t="s">
        <v>31</v>
      </c>
      <c r="K35" t="s">
        <v>7</v>
      </c>
    </row>
    <row r="36" spans="1:16" x14ac:dyDescent="0.3">
      <c r="B36" t="s">
        <v>32</v>
      </c>
      <c r="D36" t="s">
        <v>34</v>
      </c>
      <c r="K36" s="7" t="s">
        <v>112</v>
      </c>
      <c r="L36" s="1">
        <v>0.06</v>
      </c>
      <c r="N36" t="s">
        <v>7</v>
      </c>
      <c r="O36" t="s">
        <v>39</v>
      </c>
    </row>
    <row r="37" spans="1:16" x14ac:dyDescent="0.3">
      <c r="B37" t="s">
        <v>134</v>
      </c>
      <c r="C37">
        <v>5000</v>
      </c>
      <c r="F37" t="s">
        <v>4</v>
      </c>
      <c r="G37" s="15">
        <f>G38/(1+L36)^L34</f>
        <v>5188.6792452830186</v>
      </c>
      <c r="N37" t="s">
        <v>4</v>
      </c>
      <c r="O37" t="s">
        <v>2</v>
      </c>
    </row>
    <row r="38" spans="1:16" x14ac:dyDescent="0.3">
      <c r="B38" t="s">
        <v>7</v>
      </c>
      <c r="C38" s="7">
        <f>C37*(1+L36)^L34</f>
        <v>5300</v>
      </c>
      <c r="F38" t="s">
        <v>133</v>
      </c>
      <c r="G38">
        <v>5500</v>
      </c>
    </row>
    <row r="42" spans="1:16" x14ac:dyDescent="0.3">
      <c r="A42" t="s">
        <v>37</v>
      </c>
    </row>
    <row r="44" spans="1:16" x14ac:dyDescent="0.3">
      <c r="A44">
        <v>1</v>
      </c>
      <c r="B44" t="s">
        <v>6</v>
      </c>
      <c r="D44" t="s">
        <v>7</v>
      </c>
      <c r="E44" t="s">
        <v>39</v>
      </c>
      <c r="G44" t="s">
        <v>45</v>
      </c>
    </row>
    <row r="45" spans="1:16" x14ac:dyDescent="0.3">
      <c r="A45">
        <v>2</v>
      </c>
      <c r="B45" t="s">
        <v>8</v>
      </c>
      <c r="D45" t="s">
        <v>4</v>
      </c>
      <c r="E45" t="s">
        <v>2</v>
      </c>
      <c r="G45" t="s">
        <v>46</v>
      </c>
    </row>
    <row r="47" spans="1:16" x14ac:dyDescent="0.3">
      <c r="A47" t="s">
        <v>36</v>
      </c>
      <c r="B47" t="s">
        <v>30</v>
      </c>
      <c r="D47" t="s">
        <v>31</v>
      </c>
      <c r="F47" t="s">
        <v>38</v>
      </c>
      <c r="G47" s="1"/>
      <c r="H47" s="1"/>
      <c r="I47" s="40">
        <v>0.1</v>
      </c>
    </row>
    <row r="48" spans="1:16" x14ac:dyDescent="0.3">
      <c r="B48" t="s">
        <v>32</v>
      </c>
      <c r="D48" t="s">
        <v>34</v>
      </c>
    </row>
    <row r="49" spans="1:15" x14ac:dyDescent="0.3">
      <c r="B49" s="9" t="s">
        <v>4</v>
      </c>
      <c r="C49" s="9">
        <v>5000</v>
      </c>
      <c r="D49" s="10" t="s">
        <v>4</v>
      </c>
      <c r="E49" s="11">
        <f>E60</f>
        <v>5092.5925925925922</v>
      </c>
    </row>
    <row r="50" spans="1:15" x14ac:dyDescent="0.3">
      <c r="B50" s="9" t="s">
        <v>7</v>
      </c>
      <c r="C50" s="9">
        <f>C53</f>
        <v>5400</v>
      </c>
      <c r="D50" s="10" t="s">
        <v>7</v>
      </c>
      <c r="E50" s="11">
        <v>5500</v>
      </c>
      <c r="G50">
        <f>C49*(1+I47)^1</f>
        <v>5500</v>
      </c>
      <c r="N50" t="s">
        <v>7</v>
      </c>
      <c r="O50" t="s">
        <v>39</v>
      </c>
    </row>
    <row r="51" spans="1:15" x14ac:dyDescent="0.3">
      <c r="B51" t="s">
        <v>7</v>
      </c>
      <c r="C51" t="s">
        <v>40</v>
      </c>
      <c r="N51" t="s">
        <v>4</v>
      </c>
      <c r="O51" t="s">
        <v>2</v>
      </c>
    </row>
    <row r="52" spans="1:15" x14ac:dyDescent="0.3">
      <c r="B52" t="s">
        <v>7</v>
      </c>
      <c r="C52">
        <v>5000</v>
      </c>
      <c r="D52" t="s">
        <v>41</v>
      </c>
    </row>
    <row r="53" spans="1:15" x14ac:dyDescent="0.3">
      <c r="B53" t="s">
        <v>7</v>
      </c>
      <c r="C53" s="7">
        <f>5000*(1+8%)</f>
        <v>5400</v>
      </c>
    </row>
    <row r="55" spans="1:15" x14ac:dyDescent="0.3">
      <c r="A55" t="s">
        <v>42</v>
      </c>
    </row>
    <row r="57" spans="1:15" x14ac:dyDescent="0.3">
      <c r="B57" s="7" t="s">
        <v>4</v>
      </c>
      <c r="C57" s="46" t="s">
        <v>7</v>
      </c>
      <c r="D57">
        <v>5500</v>
      </c>
      <c r="E57">
        <f>D57/D58</f>
        <v>5000</v>
      </c>
    </row>
    <row r="58" spans="1:15" x14ac:dyDescent="0.3">
      <c r="B58" s="7"/>
      <c r="C58" s="7" t="s">
        <v>43</v>
      </c>
      <c r="D58">
        <f>(1+I47)^1</f>
        <v>1.1000000000000001</v>
      </c>
    </row>
    <row r="60" spans="1:15" x14ac:dyDescent="0.3">
      <c r="B60" t="s">
        <v>4</v>
      </c>
      <c r="C60" s="8">
        <v>5500</v>
      </c>
      <c r="E60" s="7">
        <f>5500/(1+8%)</f>
        <v>5092.5925925925922</v>
      </c>
    </row>
    <row r="61" spans="1:15" x14ac:dyDescent="0.3">
      <c r="C61" t="s">
        <v>44</v>
      </c>
    </row>
    <row r="64" spans="1:15" x14ac:dyDescent="0.3">
      <c r="A64" t="s">
        <v>47</v>
      </c>
      <c r="B64" s="7" t="s">
        <v>30</v>
      </c>
      <c r="C64" s="7"/>
      <c r="D64" s="7" t="s">
        <v>31</v>
      </c>
      <c r="E64" s="7"/>
      <c r="F64" s="7" t="s">
        <v>38</v>
      </c>
      <c r="G64" s="40"/>
      <c r="H64" s="40"/>
      <c r="I64" s="40">
        <v>0.1</v>
      </c>
    </row>
    <row r="65" spans="1:12" x14ac:dyDescent="0.3">
      <c r="B65" s="7" t="s">
        <v>48</v>
      </c>
      <c r="C65" s="7"/>
      <c r="D65" s="7" t="s">
        <v>49</v>
      </c>
      <c r="E65" s="7"/>
      <c r="F65" s="7"/>
      <c r="G65" s="7"/>
      <c r="H65" s="7"/>
      <c r="I65" s="7"/>
    </row>
    <row r="67" spans="1:12" x14ac:dyDescent="0.3">
      <c r="B67" t="s">
        <v>4</v>
      </c>
      <c r="C67">
        <v>10000</v>
      </c>
      <c r="F67" t="s">
        <v>3</v>
      </c>
    </row>
    <row r="68" spans="1:12" x14ac:dyDescent="0.3">
      <c r="B68" t="s">
        <v>7</v>
      </c>
      <c r="C68">
        <v>13310</v>
      </c>
      <c r="F68" t="s">
        <v>60</v>
      </c>
      <c r="I68" t="s">
        <v>63</v>
      </c>
      <c r="J68" t="s">
        <v>64</v>
      </c>
      <c r="K68" t="s">
        <v>65</v>
      </c>
      <c r="L68" t="s">
        <v>66</v>
      </c>
    </row>
    <row r="69" spans="1:12" x14ac:dyDescent="0.3">
      <c r="B69" t="s">
        <v>50</v>
      </c>
      <c r="C69">
        <v>3</v>
      </c>
      <c r="I69">
        <v>10</v>
      </c>
      <c r="J69">
        <v>10</v>
      </c>
      <c r="L69">
        <f>I69+J69</f>
        <v>20</v>
      </c>
    </row>
    <row r="70" spans="1:12" x14ac:dyDescent="0.3">
      <c r="B70" t="s">
        <v>51</v>
      </c>
      <c r="C70" s="1">
        <v>0.1</v>
      </c>
      <c r="I70">
        <f>L70-J70</f>
        <v>10</v>
      </c>
      <c r="J70">
        <v>10</v>
      </c>
      <c r="L70">
        <v>20</v>
      </c>
    </row>
    <row r="72" spans="1:12" x14ac:dyDescent="0.3">
      <c r="B72" t="s">
        <v>53</v>
      </c>
    </row>
    <row r="73" spans="1:12" x14ac:dyDescent="0.3">
      <c r="B73" t="s">
        <v>54</v>
      </c>
    </row>
    <row r="74" spans="1:12" x14ac:dyDescent="0.3">
      <c r="B74" t="s">
        <v>55</v>
      </c>
    </row>
    <row r="76" spans="1:12" x14ac:dyDescent="0.3">
      <c r="A76" t="s">
        <v>52</v>
      </c>
      <c r="B76" t="s">
        <v>7</v>
      </c>
      <c r="C76">
        <f>C67*(1+C70)^C69</f>
        <v>13310.000000000004</v>
      </c>
      <c r="G76" t="s">
        <v>4</v>
      </c>
      <c r="H76">
        <v>-10000</v>
      </c>
      <c r="J76" t="s">
        <v>4</v>
      </c>
      <c r="K76" s="6">
        <f>PV(C70,C69,0,K77)</f>
        <v>-9999.9999999999964</v>
      </c>
    </row>
    <row r="77" spans="1:12" x14ac:dyDescent="0.3">
      <c r="B77" t="s">
        <v>4</v>
      </c>
      <c r="C77">
        <f>C68/(1+C70)^C69</f>
        <v>9999.9999999999964</v>
      </c>
      <c r="G77" t="s">
        <v>7</v>
      </c>
      <c r="H77" s="39">
        <f>FV(C70,C69,0,H76)</f>
        <v>13310.000000000004</v>
      </c>
      <c r="J77" t="s">
        <v>7</v>
      </c>
      <c r="K77">
        <v>13310</v>
      </c>
    </row>
    <row r="79" spans="1:12" x14ac:dyDescent="0.3">
      <c r="A79" t="s">
        <v>56</v>
      </c>
    </row>
    <row r="80" spans="1:12" x14ac:dyDescent="0.3">
      <c r="A80" t="s">
        <v>57</v>
      </c>
    </row>
    <row r="82" spans="1:16" x14ac:dyDescent="0.3">
      <c r="A82" t="s">
        <v>58</v>
      </c>
    </row>
    <row r="84" spans="1:16" x14ac:dyDescent="0.3">
      <c r="A84" t="s">
        <v>59</v>
      </c>
    </row>
    <row r="87" spans="1:16" x14ac:dyDescent="0.3">
      <c r="L87">
        <v>1</v>
      </c>
    </row>
    <row r="88" spans="1:16" x14ac:dyDescent="0.3">
      <c r="B88" t="s">
        <v>135</v>
      </c>
      <c r="C88" t="s">
        <v>4</v>
      </c>
      <c r="D88" t="s">
        <v>136</v>
      </c>
      <c r="L88">
        <v>2</v>
      </c>
    </row>
    <row r="89" spans="1:16" x14ac:dyDescent="0.3">
      <c r="C89" t="s">
        <v>113</v>
      </c>
      <c r="L89">
        <v>3</v>
      </c>
    </row>
    <row r="90" spans="1:16" x14ac:dyDescent="0.3">
      <c r="B90" t="s">
        <v>4</v>
      </c>
      <c r="C90" t="s">
        <v>76</v>
      </c>
      <c r="L90">
        <f>SUM(L87:L89)</f>
        <v>6</v>
      </c>
    </row>
    <row r="91" spans="1:16" x14ac:dyDescent="0.3">
      <c r="B91" t="s">
        <v>50</v>
      </c>
      <c r="C91" t="s">
        <v>78</v>
      </c>
      <c r="J91" t="s">
        <v>3</v>
      </c>
      <c r="L91">
        <f>AVERAGE(L87:L89)</f>
        <v>2</v>
      </c>
    </row>
    <row r="92" spans="1:16" x14ac:dyDescent="0.3">
      <c r="B92" t="s">
        <v>1</v>
      </c>
      <c r="C92" t="s">
        <v>79</v>
      </c>
      <c r="J92" t="s">
        <v>60</v>
      </c>
    </row>
    <row r="93" spans="1:16" x14ac:dyDescent="0.3">
      <c r="B93" t="s">
        <v>70</v>
      </c>
      <c r="C93" t="s">
        <v>77</v>
      </c>
      <c r="L93" t="s">
        <v>5</v>
      </c>
      <c r="M93" t="s">
        <v>145</v>
      </c>
    </row>
    <row r="94" spans="1:16" x14ac:dyDescent="0.3">
      <c r="B94" t="s">
        <v>7</v>
      </c>
      <c r="C94" t="s">
        <v>80</v>
      </c>
      <c r="L94" t="s">
        <v>141</v>
      </c>
      <c r="M94" t="s">
        <v>0</v>
      </c>
      <c r="N94" t="s">
        <v>142</v>
      </c>
      <c r="O94" t="s">
        <v>143</v>
      </c>
      <c r="P94" t="s">
        <v>144</v>
      </c>
    </row>
    <row r="95" spans="1:16" x14ac:dyDescent="0.3">
      <c r="B95" t="s">
        <v>73</v>
      </c>
      <c r="M95" t="s">
        <v>148</v>
      </c>
    </row>
    <row r="96" spans="1:16" x14ac:dyDescent="0.3">
      <c r="B96">
        <v>0</v>
      </c>
      <c r="C96" t="s">
        <v>74</v>
      </c>
      <c r="L96" t="s">
        <v>146</v>
      </c>
      <c r="M96" t="s">
        <v>147</v>
      </c>
    </row>
    <row r="97" spans="1:13" x14ac:dyDescent="0.3">
      <c r="B97">
        <v>1</v>
      </c>
      <c r="C97" t="s">
        <v>75</v>
      </c>
      <c r="M97" t="s">
        <v>51</v>
      </c>
    </row>
    <row r="98" spans="1:13" x14ac:dyDescent="0.3">
      <c r="B98" t="s">
        <v>71</v>
      </c>
      <c r="L98" t="s">
        <v>106</v>
      </c>
    </row>
    <row r="99" spans="1:13" x14ac:dyDescent="0.3">
      <c r="B99" t="s">
        <v>68</v>
      </c>
    </row>
    <row r="100" spans="1:13" x14ac:dyDescent="0.3">
      <c r="B100" t="s">
        <v>72</v>
      </c>
    </row>
    <row r="101" spans="1:13" x14ac:dyDescent="0.3">
      <c r="B101" t="s">
        <v>69</v>
      </c>
    </row>
    <row r="103" spans="1:13" x14ac:dyDescent="0.3">
      <c r="A103" t="s">
        <v>113</v>
      </c>
      <c r="B103" t="s">
        <v>39</v>
      </c>
    </row>
    <row r="104" spans="1:13" x14ac:dyDescent="0.3">
      <c r="A104" t="s">
        <v>4</v>
      </c>
      <c r="B104" t="s">
        <v>2</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BE3F-0781-414E-9BA5-7C4199458D9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5B8B-A742-40B6-8CB7-00103840E64F}">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01ABF-ABB9-424D-A9FA-C0C20D292FA8}">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CAF0-263C-4113-814A-62592BF73CB2}">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0F3A-4BA5-4E1E-A086-9594F721FE69}">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68FA-9A2C-48C5-ABC5-62C9B4B4292F}">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8B10-84B7-418A-AA98-A9E7F0A885C5}">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EABD-7955-4B44-AB5F-EDCCD7B60431}">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5"/>
  <sheetViews>
    <sheetView tabSelected="1" zoomScale="75" zoomScaleNormal="80" workbookViewId="0">
      <selection activeCell="A22" sqref="A22"/>
    </sheetView>
  </sheetViews>
  <sheetFormatPr defaultRowHeight="14.4" x14ac:dyDescent="0.3"/>
  <sheetData>
    <row r="1" spans="1:3" x14ac:dyDescent="0.3">
      <c r="A1" s="27" t="s">
        <v>89</v>
      </c>
    </row>
    <row r="2" spans="1:3" x14ac:dyDescent="0.3">
      <c r="A2" s="28"/>
    </row>
    <row r="3" spans="1:3" x14ac:dyDescent="0.3">
      <c r="A3" s="29" t="s">
        <v>90</v>
      </c>
    </row>
    <row r="4" spans="1:3" x14ac:dyDescent="0.3">
      <c r="A4" s="29"/>
    </row>
    <row r="6" spans="1:3" x14ac:dyDescent="0.3">
      <c r="A6" s="26" t="s">
        <v>91</v>
      </c>
      <c r="C6" s="26">
        <v>15000</v>
      </c>
    </row>
    <row r="7" spans="1:3" x14ac:dyDescent="0.3">
      <c r="A7" s="26" t="s">
        <v>92</v>
      </c>
      <c r="C7" s="30">
        <v>0.5</v>
      </c>
    </row>
    <row r="8" spans="1:3" x14ac:dyDescent="0.3">
      <c r="A8" s="26" t="s">
        <v>93</v>
      </c>
      <c r="C8" s="30">
        <v>0.5</v>
      </c>
    </row>
    <row r="9" spans="1:3" x14ac:dyDescent="0.3">
      <c r="A9" s="26"/>
      <c r="B9" s="26"/>
      <c r="C9" s="26"/>
    </row>
    <row r="10" spans="1:3" x14ac:dyDescent="0.3">
      <c r="A10" s="31" t="s">
        <v>94</v>
      </c>
      <c r="B10" s="26"/>
      <c r="C10" s="26"/>
    </row>
    <row r="11" spans="1:3" x14ac:dyDescent="0.3">
      <c r="A11" s="26" t="s">
        <v>95</v>
      </c>
      <c r="B11" s="26"/>
      <c r="C11" s="26"/>
    </row>
    <row r="12" spans="1:3" x14ac:dyDescent="0.3">
      <c r="A12" s="26" t="s">
        <v>96</v>
      </c>
      <c r="B12" s="26"/>
      <c r="C12" s="26"/>
    </row>
    <row r="13" spans="1:3" x14ac:dyDescent="0.3">
      <c r="A13" s="26" t="s">
        <v>97</v>
      </c>
      <c r="B13" s="26"/>
      <c r="C13" s="26"/>
    </row>
    <row r="14" spans="1:3" x14ac:dyDescent="0.3">
      <c r="A14" s="26"/>
      <c r="B14" s="26"/>
      <c r="C14" s="26"/>
    </row>
    <row r="15" spans="1:3" x14ac:dyDescent="0.3">
      <c r="A15" s="31" t="s">
        <v>98</v>
      </c>
      <c r="B15" s="26"/>
      <c r="C15" s="26"/>
    </row>
    <row r="16" spans="1:3" x14ac:dyDescent="0.3">
      <c r="A16" s="26" t="s">
        <v>99</v>
      </c>
      <c r="B16" s="26"/>
      <c r="C16" s="26"/>
    </row>
    <row r="17" spans="1:3" x14ac:dyDescent="0.3">
      <c r="A17" s="26" t="s">
        <v>100</v>
      </c>
      <c r="B17" s="26"/>
      <c r="C17" s="26"/>
    </row>
    <row r="18" spans="1:3" x14ac:dyDescent="0.3">
      <c r="A18" s="26" t="s">
        <v>101</v>
      </c>
      <c r="B18" s="26"/>
      <c r="C18" s="26"/>
    </row>
    <row r="19" spans="1:3" x14ac:dyDescent="0.3">
      <c r="A19" s="29"/>
    </row>
    <row r="20" spans="1:3" x14ac:dyDescent="0.3">
      <c r="A20" s="29"/>
    </row>
    <row r="21" spans="1:3" x14ac:dyDescent="0.3">
      <c r="A21" s="29"/>
    </row>
    <row r="22" spans="1:3" x14ac:dyDescent="0.3">
      <c r="A22" s="28" t="s">
        <v>102</v>
      </c>
    </row>
    <row r="23" spans="1:3" x14ac:dyDescent="0.3">
      <c r="A23" s="32" t="s">
        <v>103</v>
      </c>
    </row>
    <row r="24" spans="1:3" x14ac:dyDescent="0.3">
      <c r="A24" s="32" t="s">
        <v>104</v>
      </c>
    </row>
    <row r="25" spans="1:3" x14ac:dyDescent="0.3">
      <c r="A25" s="32" t="s">
        <v>105</v>
      </c>
    </row>
  </sheetData>
  <pageMargins left="0.7" right="0.7" top="0.75" bottom="0.75" header="0.3" footer="0.3"/>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939"/>
  <sheetViews>
    <sheetView showGridLines="0" zoomScale="80" zoomScaleNormal="120" workbookViewId="0">
      <pane xSplit="1" ySplit="2" topLeftCell="B3" activePane="bottomRight" state="frozen"/>
      <selection pane="topRight" activeCell="B1" sqref="B1"/>
      <selection pane="bottomLeft" activeCell="A3" sqref="A3"/>
      <selection pane="bottomRight" activeCell="B2" sqref="B2"/>
    </sheetView>
  </sheetViews>
  <sheetFormatPr defaultRowHeight="14.4" x14ac:dyDescent="0.3"/>
  <cols>
    <col min="1" max="1" width="21.109375" customWidth="1"/>
    <col min="2" max="2" width="17" customWidth="1"/>
    <col min="3" max="5" width="16.6640625" customWidth="1"/>
    <col min="6" max="6" width="16.6640625" style="44" customWidth="1"/>
    <col min="7" max="7" width="16.44140625" bestFit="1" customWidth="1"/>
  </cols>
  <sheetData>
    <row r="1" spans="1:15" ht="23.4" x14ac:dyDescent="0.45">
      <c r="A1" s="47" t="s">
        <v>83</v>
      </c>
      <c r="B1" s="48"/>
      <c r="C1" s="49" t="s">
        <v>84</v>
      </c>
      <c r="D1" s="50"/>
      <c r="E1" s="51" t="s">
        <v>85</v>
      </c>
      <c r="F1" s="52"/>
      <c r="G1" s="52"/>
    </row>
    <row r="2" spans="1:15" ht="23.4" x14ac:dyDescent="0.45">
      <c r="A2" s="16" t="s">
        <v>67</v>
      </c>
      <c r="B2" s="16" t="s">
        <v>86</v>
      </c>
      <c r="C2" s="16" t="s">
        <v>67</v>
      </c>
      <c r="D2" s="16" t="s">
        <v>86</v>
      </c>
      <c r="E2" s="17" t="s">
        <v>87</v>
      </c>
      <c r="F2" s="41"/>
      <c r="G2" s="18" t="s">
        <v>88</v>
      </c>
      <c r="H2" s="1"/>
    </row>
    <row r="3" spans="1:15" x14ac:dyDescent="0.3">
      <c r="A3" s="19">
        <v>41275</v>
      </c>
      <c r="B3" s="20">
        <v>253.69139999999999</v>
      </c>
      <c r="C3" s="19">
        <v>41275</v>
      </c>
      <c r="D3" s="20">
        <v>23.112300000000001</v>
      </c>
      <c r="E3" s="21" t="s">
        <v>67</v>
      </c>
      <c r="F3" s="42"/>
      <c r="G3" s="22" t="s">
        <v>67</v>
      </c>
      <c r="H3" s="1"/>
    </row>
    <row r="4" spans="1:15" x14ac:dyDescent="0.3">
      <c r="A4" s="19">
        <v>41276</v>
      </c>
      <c r="B4" s="20">
        <v>254.5831</v>
      </c>
      <c r="C4" s="19">
        <v>41276</v>
      </c>
      <c r="D4" s="20">
        <v>23.122800000000002</v>
      </c>
      <c r="E4" s="13">
        <v>41275</v>
      </c>
      <c r="F4" s="43">
        <f>B3</f>
        <v>253.69139999999999</v>
      </c>
      <c r="G4" s="13">
        <f>C3</f>
        <v>41275</v>
      </c>
    </row>
    <row r="5" spans="1:15" x14ac:dyDescent="0.3">
      <c r="A5" s="19">
        <v>41277</v>
      </c>
      <c r="B5" s="20">
        <v>255.88419999999999</v>
      </c>
      <c r="C5" s="19">
        <v>41277</v>
      </c>
      <c r="D5" s="20">
        <v>23.1967</v>
      </c>
      <c r="E5" s="13">
        <v>41305</v>
      </c>
      <c r="F5" s="43">
        <f>B25</f>
        <v>255.75200000000001</v>
      </c>
      <c r="G5" s="13">
        <v>41305</v>
      </c>
    </row>
    <row r="6" spans="1:15" x14ac:dyDescent="0.3">
      <c r="A6" s="19">
        <v>41278</v>
      </c>
      <c r="B6" s="20">
        <v>256.62099999999998</v>
      </c>
      <c r="C6" s="19">
        <v>41278</v>
      </c>
      <c r="D6" s="20">
        <v>23.265899999999998</v>
      </c>
      <c r="E6" s="13">
        <v>41334</v>
      </c>
      <c r="F6" s="43"/>
      <c r="G6" s="13">
        <v>41334</v>
      </c>
    </row>
    <row r="7" spans="1:15" x14ac:dyDescent="0.3">
      <c r="A7" s="19">
        <v>41281</v>
      </c>
      <c r="B7" s="20">
        <v>256.87909999999999</v>
      </c>
      <c r="C7" s="19">
        <v>41281</v>
      </c>
      <c r="D7" s="20">
        <v>23.355699999999999</v>
      </c>
      <c r="E7" s="13">
        <v>41365</v>
      </c>
      <c r="F7" s="43"/>
      <c r="G7" s="13">
        <v>41366</v>
      </c>
    </row>
    <row r="8" spans="1:15" x14ac:dyDescent="0.3">
      <c r="A8" s="19">
        <v>41282</v>
      </c>
      <c r="B8" s="20">
        <v>256.85019999999997</v>
      </c>
      <c r="C8" s="19">
        <v>41282</v>
      </c>
      <c r="D8" s="20">
        <v>23.368600000000001</v>
      </c>
      <c r="E8" s="13">
        <v>41396</v>
      </c>
      <c r="F8" s="43"/>
      <c r="G8" s="13">
        <v>41396</v>
      </c>
    </row>
    <row r="9" spans="1:15" x14ac:dyDescent="0.3">
      <c r="A9" s="19">
        <v>41283</v>
      </c>
      <c r="B9" s="20">
        <v>256.88639999999998</v>
      </c>
      <c r="C9" s="19">
        <v>41283</v>
      </c>
      <c r="D9" s="20">
        <v>23.3917</v>
      </c>
      <c r="E9" s="13">
        <v>41425</v>
      </c>
      <c r="F9" s="43"/>
      <c r="G9" s="13">
        <v>41425</v>
      </c>
      <c r="I9" s="23"/>
      <c r="J9" s="23"/>
      <c r="K9" s="24"/>
      <c r="L9" s="24"/>
      <c r="M9" s="24"/>
      <c r="N9" s="24"/>
      <c r="O9" s="24"/>
    </row>
    <row r="10" spans="1:15" x14ac:dyDescent="0.3">
      <c r="A10" s="19">
        <v>41284</v>
      </c>
      <c r="B10" s="20">
        <v>256.96480000000003</v>
      </c>
      <c r="C10" s="19">
        <v>41284</v>
      </c>
      <c r="D10" s="20">
        <v>23.430299999999999</v>
      </c>
      <c r="E10" s="13">
        <v>41428</v>
      </c>
      <c r="F10" s="43"/>
      <c r="G10" s="13">
        <v>41452</v>
      </c>
      <c r="I10" s="24"/>
      <c r="J10" s="24"/>
      <c r="K10" s="24"/>
      <c r="L10" s="24"/>
      <c r="M10" s="24"/>
      <c r="N10" s="24"/>
      <c r="O10" s="24"/>
    </row>
    <row r="11" spans="1:15" x14ac:dyDescent="0.3">
      <c r="A11" s="19">
        <v>41285</v>
      </c>
      <c r="B11" s="20">
        <v>255.78569999999999</v>
      </c>
      <c r="C11" s="19">
        <v>41285</v>
      </c>
      <c r="D11" s="20">
        <v>23.4693</v>
      </c>
      <c r="E11" s="13">
        <v>41485</v>
      </c>
      <c r="F11" s="43"/>
      <c r="G11" s="13">
        <v>41485</v>
      </c>
      <c r="I11" s="24"/>
      <c r="J11" s="24"/>
      <c r="K11" s="24"/>
      <c r="L11" s="24"/>
      <c r="M11" s="24"/>
      <c r="N11" s="24"/>
      <c r="O11" s="24"/>
    </row>
    <row r="12" spans="1:15" x14ac:dyDescent="0.3">
      <c r="A12" s="19">
        <v>41288</v>
      </c>
      <c r="B12" s="20">
        <v>258.22879999999998</v>
      </c>
      <c r="C12" s="19">
        <v>41288</v>
      </c>
      <c r="D12" s="20">
        <v>23.6218</v>
      </c>
      <c r="E12" s="13">
        <v>41515</v>
      </c>
      <c r="F12" s="43"/>
      <c r="G12" s="13">
        <v>41515</v>
      </c>
      <c r="I12" s="24"/>
      <c r="J12" s="24"/>
      <c r="K12" s="24"/>
      <c r="L12" s="24"/>
      <c r="M12" s="24"/>
      <c r="N12" s="24"/>
      <c r="O12" s="24"/>
    </row>
    <row r="13" spans="1:15" x14ac:dyDescent="0.3">
      <c r="A13" s="19">
        <v>41289</v>
      </c>
      <c r="B13" s="20">
        <v>259.5659</v>
      </c>
      <c r="C13" s="19">
        <v>41289</v>
      </c>
      <c r="D13" s="20">
        <v>23.564599999999999</v>
      </c>
      <c r="E13" s="13">
        <v>41547</v>
      </c>
      <c r="F13" s="43"/>
      <c r="G13" s="13">
        <v>41547</v>
      </c>
      <c r="I13" s="24"/>
      <c r="J13" s="24"/>
      <c r="K13" s="24"/>
      <c r="L13" s="24"/>
      <c r="M13" s="24"/>
      <c r="N13" s="24"/>
      <c r="O13" s="24"/>
    </row>
    <row r="14" spans="1:15" x14ac:dyDescent="0.3">
      <c r="A14" s="19">
        <v>41290</v>
      </c>
      <c r="B14" s="20">
        <v>257.39780000000002</v>
      </c>
      <c r="C14" s="19">
        <v>41290</v>
      </c>
      <c r="D14" s="20">
        <v>23.446300000000001</v>
      </c>
      <c r="E14" s="13">
        <v>41575</v>
      </c>
      <c r="F14" s="43"/>
      <c r="G14" s="13">
        <v>41575</v>
      </c>
      <c r="I14" s="24"/>
      <c r="J14" s="24"/>
      <c r="K14" s="24"/>
      <c r="L14" s="24"/>
      <c r="M14" s="24"/>
      <c r="N14" s="24"/>
      <c r="O14" s="24"/>
    </row>
    <row r="15" spans="1:15" x14ac:dyDescent="0.3">
      <c r="A15" s="19">
        <v>41291</v>
      </c>
      <c r="B15" s="20">
        <v>258.78030000000001</v>
      </c>
      <c r="C15" s="19">
        <v>41291</v>
      </c>
      <c r="D15" s="20">
        <v>23.517199999999999</v>
      </c>
      <c r="E15" s="13">
        <v>41605</v>
      </c>
      <c r="F15" s="43"/>
      <c r="G15" s="13">
        <v>41605</v>
      </c>
      <c r="I15" s="24"/>
      <c r="J15" s="24"/>
      <c r="K15" s="24"/>
      <c r="L15" s="24"/>
      <c r="M15" s="24"/>
      <c r="N15" s="24"/>
      <c r="O15" s="24"/>
    </row>
    <row r="16" spans="1:15" x14ac:dyDescent="0.3">
      <c r="A16" s="19">
        <v>41292</v>
      </c>
      <c r="B16" s="20">
        <v>258.1592</v>
      </c>
      <c r="C16" s="19">
        <v>41292</v>
      </c>
      <c r="D16" s="20">
        <v>23.505600000000001</v>
      </c>
      <c r="E16" s="13">
        <v>41635</v>
      </c>
      <c r="F16" s="43"/>
      <c r="G16" s="13">
        <v>41635</v>
      </c>
    </row>
    <row r="17" spans="1:12" x14ac:dyDescent="0.3">
      <c r="A17" s="19">
        <v>41295</v>
      </c>
      <c r="B17" s="20">
        <v>258.68860000000001</v>
      </c>
      <c r="C17" s="19">
        <v>41295</v>
      </c>
      <c r="D17" s="20">
        <v>23.495699999999999</v>
      </c>
      <c r="E17" s="13">
        <v>41666</v>
      </c>
      <c r="F17" s="43"/>
      <c r="G17" s="13">
        <v>41666</v>
      </c>
      <c r="L17" s="4"/>
    </row>
    <row r="18" spans="1:12" x14ac:dyDescent="0.3">
      <c r="A18" s="19">
        <v>41296</v>
      </c>
      <c r="B18" s="20">
        <v>257.79079999999999</v>
      </c>
      <c r="C18" s="19">
        <v>41296</v>
      </c>
      <c r="D18" s="20">
        <v>23.4986</v>
      </c>
      <c r="E18" s="13">
        <v>41695</v>
      </c>
      <c r="F18" s="43"/>
      <c r="G18" s="13">
        <v>41695</v>
      </c>
    </row>
    <row r="19" spans="1:12" x14ac:dyDescent="0.3">
      <c r="A19" s="19">
        <v>41297</v>
      </c>
      <c r="B19" s="20">
        <v>258.06950000000001</v>
      </c>
      <c r="C19" s="19">
        <v>41297</v>
      </c>
      <c r="D19" s="20">
        <v>23.458500000000001</v>
      </c>
      <c r="E19" s="13">
        <v>41725</v>
      </c>
      <c r="F19" s="43"/>
      <c r="G19" s="13">
        <v>41725</v>
      </c>
    </row>
    <row r="20" spans="1:12" x14ac:dyDescent="0.3">
      <c r="A20" s="19">
        <v>41298</v>
      </c>
      <c r="B20" s="20">
        <v>255.7054</v>
      </c>
      <c r="C20" s="19">
        <v>41298</v>
      </c>
      <c r="D20" s="20">
        <v>23.429200000000002</v>
      </c>
      <c r="E20" s="13">
        <v>41757</v>
      </c>
      <c r="F20" s="43"/>
      <c r="G20" s="13">
        <v>41758</v>
      </c>
    </row>
    <row r="21" spans="1:12" x14ac:dyDescent="0.3">
      <c r="A21" s="19">
        <v>41299</v>
      </c>
      <c r="B21" s="20">
        <v>257.19929999999999</v>
      </c>
      <c r="C21" s="19">
        <v>41302</v>
      </c>
      <c r="D21" s="20">
        <v>23.475100000000001</v>
      </c>
      <c r="E21" s="13">
        <v>41785</v>
      </c>
      <c r="F21" s="43"/>
      <c r="G21" s="13">
        <v>41785</v>
      </c>
      <c r="K21" s="25"/>
    </row>
    <row r="22" spans="1:12" x14ac:dyDescent="0.3">
      <c r="A22" s="19">
        <v>41302</v>
      </c>
      <c r="B22" s="20">
        <v>256.99860000000001</v>
      </c>
      <c r="C22" s="19">
        <v>41303</v>
      </c>
      <c r="D22" s="20">
        <v>23.4832</v>
      </c>
      <c r="E22" s="13">
        <v>41815</v>
      </c>
      <c r="F22" s="43"/>
      <c r="G22" s="13">
        <v>41815</v>
      </c>
      <c r="K22" s="25"/>
    </row>
    <row r="23" spans="1:12" x14ac:dyDescent="0.3">
      <c r="A23" s="19">
        <v>41303</v>
      </c>
      <c r="B23" s="20">
        <v>255.9648</v>
      </c>
      <c r="C23" s="19">
        <v>41304</v>
      </c>
      <c r="D23" s="20">
        <v>23.425599999999999</v>
      </c>
      <c r="E23" s="13">
        <v>41845</v>
      </c>
      <c r="F23" s="43"/>
      <c r="G23" s="13">
        <v>41845</v>
      </c>
      <c r="K23" s="25"/>
    </row>
    <row r="24" spans="1:12" x14ac:dyDescent="0.3">
      <c r="A24" s="19">
        <v>41304</v>
      </c>
      <c r="B24" s="20">
        <v>256.5401</v>
      </c>
      <c r="C24" s="19">
        <v>41305</v>
      </c>
      <c r="D24" s="20">
        <v>23.3886</v>
      </c>
      <c r="E24" s="13">
        <v>41876</v>
      </c>
      <c r="F24" s="43"/>
      <c r="G24" s="13">
        <v>41878</v>
      </c>
      <c r="K24" s="25"/>
    </row>
    <row r="25" spans="1:12" x14ac:dyDescent="0.3">
      <c r="A25" s="19">
        <v>41305</v>
      </c>
      <c r="B25" s="20">
        <v>255.75200000000001</v>
      </c>
      <c r="C25" s="19">
        <v>41306</v>
      </c>
      <c r="D25" s="20">
        <v>23.4101</v>
      </c>
      <c r="E25" s="13">
        <v>41905</v>
      </c>
      <c r="F25" s="43"/>
      <c r="G25" s="13">
        <v>41905</v>
      </c>
      <c r="K25" s="25"/>
    </row>
    <row r="26" spans="1:12" x14ac:dyDescent="0.3">
      <c r="A26" s="19">
        <v>41306</v>
      </c>
      <c r="B26" s="20">
        <v>255.2799</v>
      </c>
      <c r="C26" s="19">
        <v>41309</v>
      </c>
      <c r="D26" s="20">
        <v>23.3797</v>
      </c>
      <c r="E26" s="13">
        <v>41939</v>
      </c>
      <c r="F26" s="43"/>
      <c r="G26" s="13">
        <v>41939</v>
      </c>
      <c r="K26" s="25"/>
    </row>
    <row r="27" spans="1:12" x14ac:dyDescent="0.3">
      <c r="A27" s="19">
        <v>41309</v>
      </c>
      <c r="B27" s="20">
        <v>254.17869999999999</v>
      </c>
      <c r="C27" s="19">
        <v>41310</v>
      </c>
      <c r="D27" s="20">
        <v>23.4131</v>
      </c>
      <c r="E27" s="13">
        <v>41970</v>
      </c>
      <c r="F27" s="43"/>
      <c r="G27" s="13">
        <v>41970</v>
      </c>
      <c r="K27" s="25"/>
    </row>
    <row r="28" spans="1:12" x14ac:dyDescent="0.3">
      <c r="A28" s="19">
        <v>41310</v>
      </c>
      <c r="B28" s="20">
        <v>252.8169</v>
      </c>
      <c r="C28" s="19">
        <v>41311</v>
      </c>
      <c r="D28" s="20">
        <v>23.4527</v>
      </c>
      <c r="E28" s="13">
        <v>41995</v>
      </c>
      <c r="F28" s="43"/>
      <c r="G28" s="13">
        <v>41995</v>
      </c>
      <c r="K28" s="25"/>
    </row>
    <row r="29" spans="1:12" x14ac:dyDescent="0.3">
      <c r="A29" s="19">
        <v>41311</v>
      </c>
      <c r="B29" s="20">
        <v>252.1893</v>
      </c>
      <c r="C29" s="19">
        <v>41312</v>
      </c>
      <c r="D29" s="20">
        <v>23.531400000000001</v>
      </c>
      <c r="E29" s="13">
        <v>42025</v>
      </c>
      <c r="F29" s="43"/>
      <c r="G29" s="13">
        <v>42025</v>
      </c>
      <c r="K29" s="25"/>
    </row>
    <row r="30" spans="1:12" x14ac:dyDescent="0.3">
      <c r="A30" s="19">
        <v>41312</v>
      </c>
      <c r="B30" s="20">
        <v>251.44450000000001</v>
      </c>
      <c r="C30" s="19">
        <v>41313</v>
      </c>
      <c r="D30" s="20">
        <v>23.582799999999999</v>
      </c>
      <c r="E30" s="13">
        <v>42055</v>
      </c>
      <c r="F30" s="43"/>
      <c r="G30" s="13">
        <v>42055</v>
      </c>
      <c r="K30" s="25"/>
    </row>
    <row r="31" spans="1:12" x14ac:dyDescent="0.3">
      <c r="A31" s="19">
        <v>41313</v>
      </c>
      <c r="B31" s="20">
        <v>249.7817</v>
      </c>
      <c r="C31" s="19">
        <v>41316</v>
      </c>
      <c r="D31" s="20">
        <v>23.575399999999998</v>
      </c>
      <c r="E31" s="13">
        <v>42090</v>
      </c>
      <c r="F31" s="43"/>
      <c r="G31" s="13">
        <v>42087</v>
      </c>
      <c r="K31" s="25"/>
    </row>
    <row r="32" spans="1:12" x14ac:dyDescent="0.3">
      <c r="A32" s="19">
        <v>41316</v>
      </c>
      <c r="B32" s="20">
        <v>249.27080000000001</v>
      </c>
      <c r="C32" s="19">
        <v>41317</v>
      </c>
      <c r="D32" s="20">
        <v>23.552900000000001</v>
      </c>
      <c r="E32" s="13">
        <v>42115</v>
      </c>
      <c r="F32" s="43"/>
      <c r="G32" s="13">
        <v>42115</v>
      </c>
      <c r="K32" s="25"/>
    </row>
    <row r="33" spans="1:11" x14ac:dyDescent="0.3">
      <c r="A33" s="19">
        <v>41317</v>
      </c>
      <c r="B33" s="20">
        <v>250.56389999999999</v>
      </c>
      <c r="C33" s="19">
        <v>41318</v>
      </c>
      <c r="D33" s="20">
        <v>23.607299999999999</v>
      </c>
      <c r="E33" s="13">
        <v>42145</v>
      </c>
      <c r="F33" s="43"/>
      <c r="G33" s="13">
        <v>42146</v>
      </c>
      <c r="K33" s="25"/>
    </row>
    <row r="34" spans="1:11" x14ac:dyDescent="0.3">
      <c r="A34" s="19">
        <v>41318</v>
      </c>
      <c r="B34" s="20">
        <v>251.16239999999999</v>
      </c>
      <c r="C34" s="19">
        <v>41319</v>
      </c>
      <c r="D34" s="20">
        <v>23.649000000000001</v>
      </c>
      <c r="E34" s="13">
        <v>42181</v>
      </c>
      <c r="F34" s="43"/>
      <c r="G34" s="13">
        <v>42177</v>
      </c>
      <c r="K34" s="25"/>
    </row>
    <row r="35" spans="1:11" x14ac:dyDescent="0.3">
      <c r="A35" s="19">
        <v>41319</v>
      </c>
      <c r="B35" s="20">
        <v>248.20429999999999</v>
      </c>
      <c r="C35" s="19">
        <v>41320</v>
      </c>
      <c r="D35" s="20">
        <v>23.6325</v>
      </c>
      <c r="E35" s="13">
        <v>42205</v>
      </c>
      <c r="F35" s="43"/>
      <c r="G35" s="13">
        <v>42205</v>
      </c>
      <c r="K35" s="25"/>
    </row>
    <row r="36" spans="1:11" x14ac:dyDescent="0.3">
      <c r="A36" s="19">
        <v>41320</v>
      </c>
      <c r="B36" s="20">
        <v>247.6514</v>
      </c>
      <c r="C36" s="19">
        <v>41323</v>
      </c>
      <c r="D36" s="20">
        <v>23.6449</v>
      </c>
      <c r="E36" s="13">
        <v>42235</v>
      </c>
      <c r="F36" s="43"/>
      <c r="G36" s="13">
        <v>42235</v>
      </c>
      <c r="K36" s="25"/>
    </row>
    <row r="37" spans="1:11" x14ac:dyDescent="0.3">
      <c r="A37" s="19">
        <v>41323</v>
      </c>
      <c r="B37" s="20">
        <v>247.29509999999999</v>
      </c>
      <c r="C37" s="19">
        <v>41325</v>
      </c>
      <c r="D37" s="20">
        <v>23.696000000000002</v>
      </c>
      <c r="E37" s="13">
        <v>42265</v>
      </c>
      <c r="F37" s="43"/>
      <c r="G37" s="13">
        <v>42265</v>
      </c>
      <c r="K37" s="25"/>
    </row>
    <row r="38" spans="1:11" x14ac:dyDescent="0.3">
      <c r="A38" s="19">
        <v>41324</v>
      </c>
      <c r="B38" s="20">
        <v>249.6061</v>
      </c>
      <c r="C38" s="19">
        <v>41326</v>
      </c>
      <c r="D38" s="20">
        <v>23.680900000000001</v>
      </c>
      <c r="E38" s="13">
        <v>42296</v>
      </c>
      <c r="F38" s="43"/>
      <c r="G38" s="13">
        <v>42296</v>
      </c>
      <c r="K38" s="25"/>
    </row>
    <row r="39" spans="1:11" x14ac:dyDescent="0.3">
      <c r="A39" s="19">
        <v>41325</v>
      </c>
      <c r="B39" s="20">
        <v>249.01660000000001</v>
      </c>
      <c r="C39" s="19">
        <v>41327</v>
      </c>
      <c r="D39" s="20">
        <v>23.699100000000001</v>
      </c>
      <c r="E39" s="13">
        <v>42325</v>
      </c>
      <c r="F39" s="43"/>
      <c r="G39" s="13">
        <v>42325</v>
      </c>
      <c r="K39" s="25"/>
    </row>
    <row r="40" spans="1:11" x14ac:dyDescent="0.3">
      <c r="A40" s="19">
        <v>41326</v>
      </c>
      <c r="B40" s="20">
        <v>245.27019999999999</v>
      </c>
      <c r="C40" s="19">
        <v>41330</v>
      </c>
      <c r="D40" s="20">
        <v>23.706600000000002</v>
      </c>
      <c r="E40" s="13">
        <v>42355</v>
      </c>
      <c r="F40" s="43"/>
      <c r="G40" s="13">
        <v>42355</v>
      </c>
      <c r="K40" s="25"/>
    </row>
    <row r="41" spans="1:11" x14ac:dyDescent="0.3">
      <c r="A41" s="19">
        <v>41327</v>
      </c>
      <c r="B41" s="20">
        <v>246.4494</v>
      </c>
      <c r="C41" s="19">
        <v>41331</v>
      </c>
      <c r="D41" s="20">
        <v>23.691600000000001</v>
      </c>
      <c r="E41" s="13">
        <v>42387</v>
      </c>
      <c r="F41" s="43"/>
      <c r="G41" s="13">
        <v>42388</v>
      </c>
      <c r="K41" s="25"/>
    </row>
    <row r="42" spans="1:11" x14ac:dyDescent="0.3">
      <c r="A42" s="19">
        <v>41330</v>
      </c>
      <c r="B42" s="20">
        <v>245.46700000000001</v>
      </c>
      <c r="C42" s="19">
        <v>41332</v>
      </c>
      <c r="D42" s="20">
        <v>23.706900000000001</v>
      </c>
      <c r="E42" s="13">
        <v>42415</v>
      </c>
      <c r="F42" s="43"/>
      <c r="G42" s="13">
        <v>42415</v>
      </c>
      <c r="K42" s="25"/>
    </row>
    <row r="43" spans="1:11" x14ac:dyDescent="0.3">
      <c r="A43" s="19">
        <v>41331</v>
      </c>
      <c r="B43" s="20">
        <v>243.03800000000001</v>
      </c>
      <c r="C43" s="19">
        <v>41333</v>
      </c>
      <c r="D43" s="20">
        <v>23.623799999999999</v>
      </c>
      <c r="E43" s="13">
        <v>42445</v>
      </c>
      <c r="F43" s="43"/>
      <c r="G43" s="13">
        <v>42445</v>
      </c>
      <c r="K43" s="25"/>
    </row>
    <row r="44" spans="1:11" x14ac:dyDescent="0.3">
      <c r="A44" s="19">
        <v>41332</v>
      </c>
      <c r="B44" s="20">
        <v>244.47069999999999</v>
      </c>
      <c r="C44" s="19">
        <v>41334</v>
      </c>
      <c r="D44" s="20">
        <v>23.626999999999999</v>
      </c>
      <c r="E44" s="13">
        <v>42480</v>
      </c>
      <c r="F44" s="43"/>
      <c r="G44" s="13">
        <v>42480</v>
      </c>
      <c r="K44" s="25"/>
    </row>
    <row r="45" spans="1:11" x14ac:dyDescent="0.3">
      <c r="A45" s="19">
        <v>41333</v>
      </c>
      <c r="B45" s="20">
        <v>241.13929999999999</v>
      </c>
      <c r="C45" s="19">
        <v>41337</v>
      </c>
      <c r="D45" s="20">
        <v>23.652999999999999</v>
      </c>
      <c r="E45" s="13">
        <v>42510</v>
      </c>
      <c r="F45" s="43"/>
      <c r="G45" s="13">
        <v>42514</v>
      </c>
      <c r="K45" s="25"/>
    </row>
    <row r="46" spans="1:11" x14ac:dyDescent="0.3">
      <c r="A46" s="19">
        <v>41334</v>
      </c>
      <c r="B46" s="20">
        <v>241.04239999999999</v>
      </c>
      <c r="C46" s="19">
        <v>41338</v>
      </c>
      <c r="D46" s="20">
        <v>23.668900000000001</v>
      </c>
      <c r="E46" s="13">
        <v>42535</v>
      </c>
      <c r="F46" s="43"/>
      <c r="G46" s="13">
        <v>42535</v>
      </c>
      <c r="K46" s="25"/>
    </row>
    <row r="47" spans="1:11" x14ac:dyDescent="0.3">
      <c r="A47" s="19">
        <v>41337</v>
      </c>
      <c r="B47" s="20">
        <v>240.6908</v>
      </c>
      <c r="C47" s="19">
        <v>41339</v>
      </c>
      <c r="D47" s="20">
        <v>23.689</v>
      </c>
      <c r="E47" s="13">
        <v>42565</v>
      </c>
      <c r="F47" s="43"/>
      <c r="G47" s="13">
        <v>42565</v>
      </c>
      <c r="K47" s="25"/>
    </row>
    <row r="48" spans="1:11" x14ac:dyDescent="0.3">
      <c r="A48" s="19">
        <v>41338</v>
      </c>
      <c r="B48" s="20">
        <v>243.91249999999999</v>
      </c>
      <c r="C48" s="19">
        <v>41340</v>
      </c>
      <c r="D48" s="20">
        <v>23.698699999999999</v>
      </c>
      <c r="E48" s="13">
        <v>42598</v>
      </c>
      <c r="F48" s="43"/>
      <c r="G48" s="13">
        <v>42598</v>
      </c>
      <c r="K48" s="25"/>
    </row>
    <row r="49" spans="1:11" x14ac:dyDescent="0.3">
      <c r="A49" s="19">
        <v>41339</v>
      </c>
      <c r="B49" s="20">
        <v>244.7234</v>
      </c>
      <c r="C49" s="19">
        <v>41341</v>
      </c>
      <c r="D49" s="20">
        <v>23.7195</v>
      </c>
      <c r="E49" s="13">
        <v>42625</v>
      </c>
      <c r="F49" s="43"/>
      <c r="G49" s="13">
        <v>42625</v>
      </c>
      <c r="K49" s="25"/>
    </row>
    <row r="50" spans="1:11" x14ac:dyDescent="0.3">
      <c r="A50" s="19">
        <v>41340</v>
      </c>
      <c r="B50" s="20">
        <v>245.53219999999999</v>
      </c>
      <c r="C50" s="19">
        <v>41344</v>
      </c>
      <c r="D50" s="20">
        <v>23.730699999999999</v>
      </c>
      <c r="E50" s="13">
        <v>42656</v>
      </c>
      <c r="F50" s="43"/>
      <c r="G50" s="13">
        <v>42657</v>
      </c>
      <c r="K50" s="25"/>
    </row>
    <row r="51" spans="1:11" x14ac:dyDescent="0.3">
      <c r="A51" s="19">
        <v>41341</v>
      </c>
      <c r="B51" s="20">
        <v>247.68209999999999</v>
      </c>
      <c r="C51" s="19">
        <v>41345</v>
      </c>
      <c r="D51" s="20">
        <v>23.7088</v>
      </c>
      <c r="E51" s="13">
        <v>42657</v>
      </c>
      <c r="F51" s="43"/>
      <c r="G51" s="13">
        <f>G50</f>
        <v>42657</v>
      </c>
      <c r="K51" s="25"/>
    </row>
    <row r="52" spans="1:11" x14ac:dyDescent="0.3">
      <c r="A52" s="19">
        <v>41344</v>
      </c>
      <c r="B52" s="20">
        <v>247.2433</v>
      </c>
      <c r="C52" s="19">
        <v>41346</v>
      </c>
      <c r="D52" s="20">
        <v>23.708400000000001</v>
      </c>
      <c r="E52" s="13"/>
      <c r="F52" s="43"/>
      <c r="H52" s="4"/>
      <c r="K52" s="25"/>
    </row>
    <row r="53" spans="1:11" x14ac:dyDescent="0.3">
      <c r="A53" s="19">
        <v>41345</v>
      </c>
      <c r="B53" s="20">
        <v>246.23929999999999</v>
      </c>
      <c r="C53" s="19">
        <v>41347</v>
      </c>
      <c r="D53" s="20">
        <v>23.738399999999999</v>
      </c>
      <c r="E53" s="13"/>
      <c r="F53" s="43"/>
      <c r="H53" s="4"/>
      <c r="K53" s="25"/>
    </row>
    <row r="54" spans="1:11" x14ac:dyDescent="0.3">
      <c r="A54" s="19">
        <v>41346</v>
      </c>
      <c r="B54" s="20">
        <v>243.57749999999999</v>
      </c>
      <c r="C54" s="19">
        <v>41348</v>
      </c>
      <c r="D54" s="20">
        <v>23.7483</v>
      </c>
      <c r="E54" s="13"/>
      <c r="F54" s="43"/>
      <c r="K54" s="25"/>
    </row>
    <row r="55" spans="1:11" x14ac:dyDescent="0.3">
      <c r="A55" s="19">
        <v>41347</v>
      </c>
      <c r="B55" s="20">
        <v>245.01759999999999</v>
      </c>
      <c r="C55" s="19">
        <v>41351</v>
      </c>
      <c r="D55" s="20">
        <v>23.7393</v>
      </c>
      <c r="E55" s="13"/>
      <c r="F55" s="43"/>
      <c r="K55" s="25"/>
    </row>
    <row r="56" spans="1:11" x14ac:dyDescent="0.3">
      <c r="A56" s="19">
        <v>41348</v>
      </c>
      <c r="B56" s="20">
        <v>243.3638</v>
      </c>
      <c r="C56" s="19">
        <v>41352</v>
      </c>
      <c r="D56" s="20">
        <v>23.7257</v>
      </c>
      <c r="E56" s="13"/>
      <c r="F56" s="43"/>
      <c r="K56" s="25"/>
    </row>
    <row r="57" spans="1:11" x14ac:dyDescent="0.3">
      <c r="A57" s="19">
        <v>41351</v>
      </c>
      <c r="B57" s="20">
        <v>241.7637</v>
      </c>
      <c r="C57" s="19">
        <v>41353</v>
      </c>
      <c r="D57" s="20">
        <v>23.709099999999999</v>
      </c>
      <c r="E57" s="13"/>
      <c r="F57" s="43"/>
      <c r="K57" s="25"/>
    </row>
    <row r="58" spans="1:11" x14ac:dyDescent="0.3">
      <c r="A58" s="19">
        <v>41352</v>
      </c>
      <c r="B58" s="20">
        <v>238.9957</v>
      </c>
      <c r="C58" s="19">
        <v>41354</v>
      </c>
      <c r="D58" s="20">
        <v>23.7043</v>
      </c>
      <c r="F58" s="43"/>
      <c r="K58" s="25"/>
    </row>
    <row r="59" spans="1:11" x14ac:dyDescent="0.3">
      <c r="A59" s="19">
        <v>41353</v>
      </c>
      <c r="B59" s="20">
        <v>236.49420000000001</v>
      </c>
      <c r="C59" s="19">
        <v>41355</v>
      </c>
      <c r="D59" s="20">
        <v>23.693999999999999</v>
      </c>
      <c r="F59" s="43"/>
      <c r="K59" s="25"/>
    </row>
    <row r="60" spans="1:11" x14ac:dyDescent="0.3">
      <c r="A60" s="19">
        <v>41354</v>
      </c>
      <c r="B60" s="20">
        <v>236.3527</v>
      </c>
      <c r="C60" s="19">
        <v>41358</v>
      </c>
      <c r="D60" s="20">
        <v>23.701699999999999</v>
      </c>
      <c r="F60" s="43"/>
      <c r="K60" s="25"/>
    </row>
    <row r="61" spans="1:11" x14ac:dyDescent="0.3">
      <c r="A61" s="19">
        <v>41355</v>
      </c>
      <c r="B61" s="20">
        <v>235.5823</v>
      </c>
      <c r="C61" s="19">
        <v>41359</v>
      </c>
      <c r="D61" s="20">
        <v>23.718800000000002</v>
      </c>
      <c r="F61" s="43"/>
      <c r="K61" s="25"/>
    </row>
    <row r="62" spans="1:11" x14ac:dyDescent="0.3">
      <c r="A62" s="19">
        <v>41358</v>
      </c>
      <c r="B62" s="20">
        <v>234.9297</v>
      </c>
      <c r="C62" s="19">
        <v>41361</v>
      </c>
      <c r="D62" s="20">
        <v>23.746300000000002</v>
      </c>
      <c r="F62" s="43"/>
      <c r="K62" s="25"/>
    </row>
    <row r="63" spans="1:11" x14ac:dyDescent="0.3">
      <c r="A63" s="19">
        <v>41359</v>
      </c>
      <c r="B63" s="20">
        <v>235.96100000000001</v>
      </c>
      <c r="C63" s="19">
        <v>41364</v>
      </c>
      <c r="D63" s="20">
        <v>23.7607</v>
      </c>
      <c r="F63" s="43"/>
      <c r="K63" s="25"/>
    </row>
    <row r="64" spans="1:11" x14ac:dyDescent="0.3">
      <c r="A64" s="19">
        <v>41361</v>
      </c>
      <c r="B64" s="20">
        <v>237.71080000000001</v>
      </c>
      <c r="C64" s="19">
        <v>41366</v>
      </c>
      <c r="D64" s="20">
        <v>23.745000000000001</v>
      </c>
      <c r="F64" s="43"/>
      <c r="K64" s="25"/>
    </row>
    <row r="65" spans="1:11" x14ac:dyDescent="0.3">
      <c r="A65" s="19">
        <v>41365</v>
      </c>
      <c r="B65" s="20">
        <v>239.0403</v>
      </c>
      <c r="C65" s="19">
        <v>41367</v>
      </c>
      <c r="D65" s="20">
        <v>23.757999999999999</v>
      </c>
      <c r="F65" s="43"/>
      <c r="K65" s="25"/>
    </row>
    <row r="66" spans="1:11" x14ac:dyDescent="0.3">
      <c r="A66" s="19">
        <v>41366</v>
      </c>
      <c r="B66" s="20">
        <v>241.37860000000001</v>
      </c>
      <c r="C66" s="19">
        <v>41368</v>
      </c>
      <c r="D66" s="20">
        <v>23.770600000000002</v>
      </c>
      <c r="F66" s="43"/>
      <c r="K66" s="25"/>
    </row>
    <row r="67" spans="1:11" x14ac:dyDescent="0.3">
      <c r="A67" s="19">
        <v>41367</v>
      </c>
      <c r="B67" s="20">
        <v>238.71270000000001</v>
      </c>
      <c r="C67" s="19">
        <v>41369</v>
      </c>
      <c r="D67" s="20">
        <v>23.781099999999999</v>
      </c>
      <c r="F67" s="43"/>
      <c r="K67" s="25"/>
    </row>
    <row r="68" spans="1:11" x14ac:dyDescent="0.3">
      <c r="A68" s="19">
        <v>41368</v>
      </c>
      <c r="B68" s="20">
        <v>235.559</v>
      </c>
      <c r="C68" s="19">
        <v>41372</v>
      </c>
      <c r="D68" s="20">
        <v>23.8034</v>
      </c>
      <c r="F68" s="43"/>
      <c r="K68" s="25"/>
    </row>
    <row r="69" spans="1:11" x14ac:dyDescent="0.3">
      <c r="A69" s="19">
        <v>41369</v>
      </c>
      <c r="B69" s="20">
        <v>235.29640000000001</v>
      </c>
      <c r="C69" s="19">
        <v>41373</v>
      </c>
      <c r="D69" s="20">
        <v>23.8124</v>
      </c>
      <c r="F69" s="43"/>
    </row>
    <row r="70" spans="1:11" x14ac:dyDescent="0.3">
      <c r="A70" s="19">
        <v>41372</v>
      </c>
      <c r="B70" s="20">
        <v>235.37049999999999</v>
      </c>
      <c r="C70" s="19">
        <v>41374</v>
      </c>
      <c r="D70" s="20">
        <v>23.825600000000001</v>
      </c>
      <c r="F70" s="43"/>
    </row>
    <row r="71" spans="1:11" x14ac:dyDescent="0.3">
      <c r="A71" s="19">
        <v>41373</v>
      </c>
      <c r="B71" s="20">
        <v>233.12039999999999</v>
      </c>
      <c r="C71" s="19">
        <v>41376</v>
      </c>
      <c r="D71" s="20">
        <v>23.849699999999999</v>
      </c>
      <c r="F71" s="43"/>
    </row>
    <row r="72" spans="1:11" x14ac:dyDescent="0.3">
      <c r="A72" s="19">
        <v>41374</v>
      </c>
      <c r="B72" s="20">
        <v>234.32300000000001</v>
      </c>
      <c r="C72" s="19">
        <v>41379</v>
      </c>
      <c r="D72" s="20">
        <v>23.937899999999999</v>
      </c>
      <c r="F72" s="43"/>
    </row>
    <row r="73" spans="1:11" x14ac:dyDescent="0.3">
      <c r="A73" s="19">
        <v>41375</v>
      </c>
      <c r="B73" s="20">
        <v>234.85239999999999</v>
      </c>
      <c r="C73" s="19">
        <v>41380</v>
      </c>
      <c r="D73" s="20">
        <v>23.966100000000001</v>
      </c>
      <c r="F73" s="43"/>
    </row>
    <row r="74" spans="1:11" x14ac:dyDescent="0.3">
      <c r="A74" s="19">
        <v>41376</v>
      </c>
      <c r="B74" s="20">
        <v>231.31729999999999</v>
      </c>
      <c r="C74" s="19">
        <v>41381</v>
      </c>
      <c r="D74" s="20">
        <v>24.0228</v>
      </c>
      <c r="F74" s="43"/>
    </row>
    <row r="75" spans="1:11" x14ac:dyDescent="0.3">
      <c r="A75" s="19">
        <v>41379</v>
      </c>
      <c r="B75" s="20">
        <v>232.1643</v>
      </c>
      <c r="C75" s="19">
        <v>41382</v>
      </c>
      <c r="D75" s="20">
        <v>24.094999999999999</v>
      </c>
      <c r="F75" s="43"/>
    </row>
    <row r="76" spans="1:11" x14ac:dyDescent="0.3">
      <c r="A76" s="19">
        <v>41380</v>
      </c>
      <c r="B76" s="20">
        <v>235.35480000000001</v>
      </c>
      <c r="C76" s="19">
        <v>41386</v>
      </c>
      <c r="D76" s="20">
        <v>24.161899999999999</v>
      </c>
      <c r="F76" s="43"/>
    </row>
    <row r="77" spans="1:11" x14ac:dyDescent="0.3">
      <c r="A77" s="19">
        <v>41381</v>
      </c>
      <c r="B77" s="20">
        <v>235.1831</v>
      </c>
      <c r="C77" s="19">
        <v>41387</v>
      </c>
      <c r="D77" s="20">
        <v>24.233699999999999</v>
      </c>
      <c r="F77" s="43"/>
    </row>
    <row r="78" spans="1:11" x14ac:dyDescent="0.3">
      <c r="A78" s="19">
        <v>41382</v>
      </c>
      <c r="B78" s="20">
        <v>237.58070000000001</v>
      </c>
      <c r="C78" s="19">
        <v>41389</v>
      </c>
      <c r="D78" s="20">
        <v>24.206</v>
      </c>
      <c r="F78" s="43"/>
    </row>
    <row r="79" spans="1:11" x14ac:dyDescent="0.3">
      <c r="A79" s="19">
        <v>41386</v>
      </c>
      <c r="B79" s="20">
        <v>239.68379999999999</v>
      </c>
      <c r="C79" s="19">
        <v>41390</v>
      </c>
      <c r="D79" s="20">
        <v>24.2379</v>
      </c>
      <c r="F79" s="43"/>
    </row>
    <row r="80" spans="1:11" x14ac:dyDescent="0.3">
      <c r="A80" s="19">
        <v>41387</v>
      </c>
      <c r="B80" s="20">
        <v>240.1781</v>
      </c>
      <c r="C80" s="19">
        <v>41393</v>
      </c>
      <c r="D80" s="20">
        <v>24.238</v>
      </c>
      <c r="F80" s="43"/>
    </row>
    <row r="81" spans="1:6" x14ac:dyDescent="0.3">
      <c r="A81" s="19">
        <v>41389</v>
      </c>
      <c r="B81" s="20">
        <v>242.6883</v>
      </c>
      <c r="C81" s="19">
        <v>41394</v>
      </c>
      <c r="D81" s="20">
        <v>24.261199999999999</v>
      </c>
      <c r="F81" s="43"/>
    </row>
    <row r="82" spans="1:6" x14ac:dyDescent="0.3">
      <c r="A82" s="19">
        <v>41390</v>
      </c>
      <c r="B82" s="20">
        <v>242.02930000000001</v>
      </c>
      <c r="C82" s="19">
        <v>41396</v>
      </c>
      <c r="D82" s="20">
        <v>24.2897</v>
      </c>
      <c r="F82" s="43"/>
    </row>
    <row r="83" spans="1:6" x14ac:dyDescent="0.3">
      <c r="A83" s="19">
        <v>41393</v>
      </c>
      <c r="B83" s="20">
        <v>243.1437</v>
      </c>
      <c r="C83" s="19">
        <v>41397</v>
      </c>
      <c r="D83" s="20">
        <v>24.271599999999999</v>
      </c>
      <c r="F83" s="43"/>
    </row>
    <row r="84" spans="1:6" x14ac:dyDescent="0.3">
      <c r="A84" s="19">
        <v>41394</v>
      </c>
      <c r="B84" s="20">
        <v>243.30699999999999</v>
      </c>
      <c r="C84" s="19">
        <v>41400</v>
      </c>
      <c r="D84" s="20">
        <v>24.272400000000001</v>
      </c>
      <c r="F84" s="43"/>
    </row>
    <row r="85" spans="1:6" x14ac:dyDescent="0.3">
      <c r="A85" s="19">
        <v>41396</v>
      </c>
      <c r="B85" s="20">
        <v>244.88390000000001</v>
      </c>
      <c r="C85" s="19">
        <v>41401</v>
      </c>
      <c r="D85" s="20">
        <v>24.3368</v>
      </c>
      <c r="F85" s="43"/>
    </row>
    <row r="86" spans="1:6" x14ac:dyDescent="0.3">
      <c r="A86" s="19">
        <v>41397</v>
      </c>
      <c r="B86" s="20">
        <v>243.64349999999999</v>
      </c>
      <c r="C86" s="19">
        <v>41402</v>
      </c>
      <c r="D86" s="20">
        <v>24.429400000000001</v>
      </c>
      <c r="F86" s="43"/>
    </row>
    <row r="87" spans="1:6" x14ac:dyDescent="0.3">
      <c r="A87" s="19">
        <v>41400</v>
      </c>
      <c r="B87" s="20">
        <v>245.13560000000001</v>
      </c>
      <c r="C87" s="19">
        <v>41403</v>
      </c>
      <c r="D87" s="20">
        <v>24.619800000000001</v>
      </c>
      <c r="F87" s="43"/>
    </row>
    <row r="88" spans="1:6" x14ac:dyDescent="0.3">
      <c r="A88" s="19">
        <v>41401</v>
      </c>
      <c r="B88" s="20">
        <v>247.7122</v>
      </c>
      <c r="C88" s="19">
        <v>41404</v>
      </c>
      <c r="D88" s="20">
        <v>24.675699999999999</v>
      </c>
      <c r="F88" s="43"/>
    </row>
    <row r="89" spans="1:6" x14ac:dyDescent="0.3">
      <c r="A89" s="19">
        <v>41402</v>
      </c>
      <c r="B89" s="20">
        <v>248.559</v>
      </c>
      <c r="C89" s="19">
        <v>41407</v>
      </c>
      <c r="D89" s="20">
        <v>24.7148</v>
      </c>
      <c r="F89" s="43"/>
    </row>
    <row r="90" spans="1:6" x14ac:dyDescent="0.3">
      <c r="A90" s="19">
        <v>41403</v>
      </c>
      <c r="B90" s="20">
        <v>247.30199999999999</v>
      </c>
      <c r="C90" s="19">
        <v>41409</v>
      </c>
      <c r="D90" s="20">
        <v>25.016500000000001</v>
      </c>
      <c r="F90" s="43"/>
    </row>
    <row r="91" spans="1:6" x14ac:dyDescent="0.3">
      <c r="A91" s="19">
        <v>41404</v>
      </c>
      <c r="B91" s="20">
        <v>248.92189999999999</v>
      </c>
      <c r="C91" s="19">
        <v>41410</v>
      </c>
      <c r="D91" s="20">
        <v>25.1572</v>
      </c>
      <c r="F91" s="43"/>
    </row>
    <row r="92" spans="1:6" x14ac:dyDescent="0.3">
      <c r="A92" s="19">
        <v>41407</v>
      </c>
      <c r="B92" s="20">
        <v>246.1207</v>
      </c>
      <c r="C92" s="19">
        <v>41411</v>
      </c>
      <c r="D92" s="20">
        <v>25.202200000000001</v>
      </c>
      <c r="F92" s="43"/>
    </row>
    <row r="93" spans="1:6" x14ac:dyDescent="0.3">
      <c r="A93" s="19">
        <v>41408</v>
      </c>
      <c r="B93" s="20">
        <v>246.66489999999999</v>
      </c>
      <c r="C93" s="19">
        <v>41414</v>
      </c>
      <c r="D93" s="20">
        <v>25.288799999999998</v>
      </c>
      <c r="F93" s="43"/>
    </row>
    <row r="94" spans="1:6" x14ac:dyDescent="0.3">
      <c r="A94" s="19">
        <v>41409</v>
      </c>
      <c r="B94" s="20">
        <v>250.5231</v>
      </c>
      <c r="C94" s="19">
        <v>41415</v>
      </c>
      <c r="D94" s="20">
        <v>25.3171</v>
      </c>
      <c r="F94" s="43"/>
    </row>
    <row r="95" spans="1:6" x14ac:dyDescent="0.3">
      <c r="A95" s="19">
        <v>41410</v>
      </c>
      <c r="B95" s="20">
        <v>251.93989999999999</v>
      </c>
      <c r="C95" s="19">
        <v>41416</v>
      </c>
      <c r="D95" s="20">
        <v>25.3032</v>
      </c>
      <c r="F95" s="43"/>
    </row>
    <row r="96" spans="1:6" x14ac:dyDescent="0.3">
      <c r="A96" s="19">
        <v>41411</v>
      </c>
      <c r="B96" s="20">
        <v>251.72139999999999</v>
      </c>
      <c r="C96" s="19">
        <v>41417</v>
      </c>
      <c r="D96" s="20">
        <v>25.300899999999999</v>
      </c>
      <c r="F96" s="43"/>
    </row>
    <row r="97" spans="1:6" x14ac:dyDescent="0.3">
      <c r="A97" s="19">
        <v>41414</v>
      </c>
      <c r="B97" s="20">
        <v>250.01570000000001</v>
      </c>
      <c r="C97" s="19">
        <v>41418</v>
      </c>
      <c r="D97" s="20">
        <v>25.3598</v>
      </c>
      <c r="F97" s="43"/>
    </row>
    <row r="98" spans="1:6" x14ac:dyDescent="0.3">
      <c r="A98" s="19">
        <v>41415</v>
      </c>
      <c r="B98" s="20">
        <v>248.16659999999999</v>
      </c>
      <c r="C98" s="19">
        <v>41421</v>
      </c>
      <c r="D98" s="20">
        <v>25.389800000000001</v>
      </c>
      <c r="F98" s="43"/>
    </row>
    <row r="99" spans="1:6" x14ac:dyDescent="0.3">
      <c r="A99" s="19">
        <v>41416</v>
      </c>
      <c r="B99" s="20">
        <v>248.02070000000001</v>
      </c>
      <c r="C99" s="19">
        <v>41422</v>
      </c>
      <c r="D99" s="20">
        <v>25.3872</v>
      </c>
      <c r="F99" s="43"/>
    </row>
    <row r="100" spans="1:6" x14ac:dyDescent="0.3">
      <c r="A100" s="19">
        <v>41417</v>
      </c>
      <c r="B100" s="20">
        <v>243.8861</v>
      </c>
      <c r="C100" s="19">
        <v>41423</v>
      </c>
      <c r="D100" s="20">
        <v>25.343699999999998</v>
      </c>
      <c r="F100" s="43"/>
    </row>
    <row r="101" spans="1:6" x14ac:dyDescent="0.3">
      <c r="A101" s="19">
        <v>41418</v>
      </c>
      <c r="B101" s="20">
        <v>244.85239999999999</v>
      </c>
      <c r="C101" s="19">
        <v>41424</v>
      </c>
      <c r="D101" s="20">
        <v>25.2699</v>
      </c>
      <c r="F101" s="43"/>
    </row>
    <row r="102" spans="1:6" x14ac:dyDescent="0.3">
      <c r="A102" s="19">
        <v>41421</v>
      </c>
      <c r="B102" s="20">
        <v>248.19919999999999</v>
      </c>
      <c r="C102" s="19">
        <v>41425</v>
      </c>
      <c r="D102" s="20">
        <v>25.249300000000002</v>
      </c>
      <c r="F102" s="43"/>
    </row>
    <row r="103" spans="1:6" x14ac:dyDescent="0.3">
      <c r="A103" s="19">
        <v>41422</v>
      </c>
      <c r="B103" s="20">
        <v>249.56290000000001</v>
      </c>
      <c r="C103" s="19">
        <v>41428</v>
      </c>
      <c r="D103" s="20">
        <v>25.251200000000001</v>
      </c>
      <c r="F103" s="43"/>
    </row>
    <row r="104" spans="1:6" x14ac:dyDescent="0.3">
      <c r="A104" s="19">
        <v>41423</v>
      </c>
      <c r="B104" s="20">
        <v>249.00389999999999</v>
      </c>
      <c r="C104" s="19">
        <v>41429</v>
      </c>
      <c r="D104" s="20">
        <v>25.365100000000002</v>
      </c>
      <c r="F104" s="43"/>
    </row>
    <row r="105" spans="1:6" x14ac:dyDescent="0.3">
      <c r="A105" s="19">
        <v>41424</v>
      </c>
      <c r="B105" s="20">
        <v>249.40369999999999</v>
      </c>
      <c r="C105" s="19">
        <v>41430</v>
      </c>
      <c r="D105" s="20">
        <v>25.339200000000002</v>
      </c>
      <c r="F105" s="43"/>
    </row>
    <row r="106" spans="1:6" x14ac:dyDescent="0.3">
      <c r="A106" s="19">
        <v>41425</v>
      </c>
      <c r="B106" s="20">
        <v>246.46010000000001</v>
      </c>
      <c r="C106" s="19">
        <v>41431</v>
      </c>
      <c r="D106" s="20">
        <v>25.3491</v>
      </c>
      <c r="F106" s="43"/>
    </row>
    <row r="107" spans="1:6" x14ac:dyDescent="0.3">
      <c r="A107" s="19">
        <v>41428</v>
      </c>
      <c r="B107" s="20">
        <v>247.64930000000001</v>
      </c>
      <c r="C107" s="19">
        <v>41432</v>
      </c>
      <c r="D107" s="20">
        <v>25.313700000000001</v>
      </c>
      <c r="F107" s="43"/>
    </row>
    <row r="108" spans="1:6" x14ac:dyDescent="0.3">
      <c r="A108" s="19">
        <v>41429</v>
      </c>
      <c r="B108" s="20">
        <v>247.17509999999999</v>
      </c>
      <c r="C108" s="19">
        <v>41435</v>
      </c>
      <c r="D108" s="20">
        <v>25.229800000000001</v>
      </c>
      <c r="F108" s="43"/>
    </row>
    <row r="109" spans="1:6" x14ac:dyDescent="0.3">
      <c r="A109" s="19">
        <v>41430</v>
      </c>
      <c r="B109" s="20">
        <v>246.7433</v>
      </c>
      <c r="C109" s="19">
        <v>41436</v>
      </c>
      <c r="D109" s="20">
        <v>25.174099999999999</v>
      </c>
      <c r="F109" s="43"/>
    </row>
    <row r="110" spans="1:6" x14ac:dyDescent="0.3">
      <c r="A110" s="19">
        <v>41431</v>
      </c>
      <c r="B110" s="20">
        <v>245.90819999999999</v>
      </c>
      <c r="C110" s="19">
        <v>41437</v>
      </c>
      <c r="D110" s="20">
        <v>25.196999999999999</v>
      </c>
      <c r="F110" s="43"/>
    </row>
    <row r="111" spans="1:6" x14ac:dyDescent="0.3">
      <c r="A111" s="19">
        <v>41432</v>
      </c>
      <c r="B111" s="20">
        <v>245.0745</v>
      </c>
      <c r="C111" s="19">
        <v>41438</v>
      </c>
      <c r="D111" s="20">
        <v>25.153500000000001</v>
      </c>
      <c r="F111" s="43"/>
    </row>
    <row r="112" spans="1:6" x14ac:dyDescent="0.3">
      <c r="A112" s="19">
        <v>41435</v>
      </c>
      <c r="B112" s="20">
        <v>244.34</v>
      </c>
      <c r="C112" s="19">
        <v>41439</v>
      </c>
      <c r="D112" s="20">
        <v>25.174900000000001</v>
      </c>
      <c r="F112" s="43"/>
    </row>
    <row r="113" spans="1:6" x14ac:dyDescent="0.3">
      <c r="A113" s="19">
        <v>41436</v>
      </c>
      <c r="B113" s="20">
        <v>241.26580000000001</v>
      </c>
      <c r="C113" s="19">
        <v>41442</v>
      </c>
      <c r="D113" s="20">
        <v>25.289000000000001</v>
      </c>
      <c r="F113" s="43"/>
    </row>
    <row r="114" spans="1:6" x14ac:dyDescent="0.3">
      <c r="A114" s="19">
        <v>41437</v>
      </c>
      <c r="B114" s="20">
        <v>240.9982</v>
      </c>
      <c r="C114" s="19">
        <v>41443</v>
      </c>
      <c r="D114" s="20">
        <v>25.253</v>
      </c>
      <c r="F114" s="43"/>
    </row>
    <row r="115" spans="1:6" x14ac:dyDescent="0.3">
      <c r="A115" s="19">
        <v>41438</v>
      </c>
      <c r="B115" s="20">
        <v>239.54839999999999</v>
      </c>
      <c r="C115" s="19">
        <v>41444</v>
      </c>
      <c r="D115" s="20">
        <v>25.2685</v>
      </c>
      <c r="F115" s="43"/>
    </row>
    <row r="116" spans="1:6" x14ac:dyDescent="0.3">
      <c r="A116" s="19">
        <v>41439</v>
      </c>
      <c r="B116" s="20">
        <v>242.12360000000001</v>
      </c>
      <c r="C116" s="19">
        <v>41445</v>
      </c>
      <c r="D116" s="20">
        <v>25.067</v>
      </c>
      <c r="F116" s="43"/>
    </row>
    <row r="117" spans="1:6" x14ac:dyDescent="0.3">
      <c r="A117" s="19">
        <v>41442</v>
      </c>
      <c r="B117" s="20">
        <v>243.227</v>
      </c>
      <c r="C117" s="19">
        <v>41446</v>
      </c>
      <c r="D117" s="20">
        <v>25.107900000000001</v>
      </c>
      <c r="F117" s="43"/>
    </row>
    <row r="118" spans="1:6" x14ac:dyDescent="0.3">
      <c r="A118" s="19">
        <v>41443</v>
      </c>
      <c r="B118" s="20">
        <v>242.749</v>
      </c>
      <c r="C118" s="19">
        <v>41449</v>
      </c>
      <c r="D118" s="20">
        <v>25.015899999999998</v>
      </c>
      <c r="F118" s="43"/>
    </row>
    <row r="119" spans="1:6" x14ac:dyDescent="0.3">
      <c r="A119" s="19">
        <v>41444</v>
      </c>
      <c r="B119" s="20">
        <v>243.43940000000001</v>
      </c>
      <c r="C119" s="19">
        <v>41450</v>
      </c>
      <c r="D119" s="20">
        <v>25.023499999999999</v>
      </c>
      <c r="F119" s="43"/>
    </row>
    <row r="120" spans="1:6" x14ac:dyDescent="0.3">
      <c r="A120" s="19">
        <v>41445</v>
      </c>
      <c r="B120" s="20">
        <v>238.03800000000001</v>
      </c>
      <c r="C120" s="19">
        <v>41451</v>
      </c>
      <c r="D120" s="20">
        <v>24.947700000000001</v>
      </c>
      <c r="F120" s="43"/>
    </row>
    <row r="121" spans="1:6" x14ac:dyDescent="0.3">
      <c r="A121" s="19">
        <v>41446</v>
      </c>
      <c r="B121" s="20">
        <v>238.49090000000001</v>
      </c>
      <c r="C121" s="19">
        <v>41452</v>
      </c>
      <c r="D121" s="20">
        <v>24.990200000000002</v>
      </c>
      <c r="F121" s="43"/>
    </row>
    <row r="122" spans="1:6" x14ac:dyDescent="0.3">
      <c r="A122" s="19">
        <v>41449</v>
      </c>
      <c r="B122" s="20">
        <v>234.68270000000001</v>
      </c>
      <c r="C122" s="19">
        <v>41453</v>
      </c>
      <c r="D122" s="20">
        <v>25.108000000000001</v>
      </c>
      <c r="F122" s="43"/>
    </row>
    <row r="123" spans="1:6" x14ac:dyDescent="0.3">
      <c r="A123" s="19">
        <v>41450</v>
      </c>
      <c r="B123" s="20">
        <v>235.01779999999999</v>
      </c>
      <c r="C123" s="19">
        <v>41457</v>
      </c>
      <c r="D123" s="20">
        <v>25.096299999999999</v>
      </c>
      <c r="F123" s="43"/>
    </row>
    <row r="124" spans="1:6" x14ac:dyDescent="0.3">
      <c r="A124" s="19">
        <v>41451</v>
      </c>
      <c r="B124" s="20">
        <v>233.33799999999999</v>
      </c>
      <c r="C124" s="19">
        <v>41458</v>
      </c>
      <c r="D124" s="20">
        <v>25.058199999999999</v>
      </c>
      <c r="F124" s="43"/>
    </row>
    <row r="125" spans="1:6" x14ac:dyDescent="0.3">
      <c r="A125" s="19">
        <v>41452</v>
      </c>
      <c r="B125" s="20">
        <v>235.43389999999999</v>
      </c>
      <c r="C125" s="19">
        <v>41459</v>
      </c>
      <c r="D125" s="20">
        <v>25.1692</v>
      </c>
      <c r="F125" s="43"/>
    </row>
    <row r="126" spans="1:6" x14ac:dyDescent="0.3">
      <c r="A126" s="19">
        <v>41453</v>
      </c>
      <c r="B126" s="20">
        <v>240.9067</v>
      </c>
      <c r="C126" s="19">
        <v>41460</v>
      </c>
      <c r="D126" s="20">
        <v>25.127099999999999</v>
      </c>
      <c r="F126" s="43"/>
    </row>
    <row r="127" spans="1:6" x14ac:dyDescent="0.3">
      <c r="A127" s="19">
        <v>41456</v>
      </c>
      <c r="B127" s="20">
        <v>242.3005</v>
      </c>
      <c r="C127" s="19">
        <v>41463</v>
      </c>
      <c r="D127" s="20">
        <v>25.078700000000001</v>
      </c>
      <c r="F127" s="43"/>
    </row>
    <row r="128" spans="1:6" x14ac:dyDescent="0.3">
      <c r="A128" s="19">
        <v>41457</v>
      </c>
      <c r="B128" s="20">
        <v>241.94710000000001</v>
      </c>
      <c r="C128" s="19">
        <v>41464</v>
      </c>
      <c r="D128" s="20">
        <v>25.115200000000002</v>
      </c>
      <c r="F128" s="43"/>
    </row>
    <row r="129" spans="1:6" x14ac:dyDescent="0.3">
      <c r="A129" s="19">
        <v>41458</v>
      </c>
      <c r="B129" s="20">
        <v>239.05109999999999</v>
      </c>
      <c r="C129" s="19">
        <v>41465</v>
      </c>
      <c r="D129" s="20">
        <v>25.144500000000001</v>
      </c>
      <c r="F129" s="43"/>
    </row>
    <row r="130" spans="1:6" x14ac:dyDescent="0.3">
      <c r="A130" s="19">
        <v>41459</v>
      </c>
      <c r="B130" s="20">
        <v>240.8065</v>
      </c>
      <c r="C130" s="19">
        <v>41466</v>
      </c>
      <c r="D130" s="20">
        <v>25.229700000000001</v>
      </c>
      <c r="F130" s="43"/>
    </row>
    <row r="131" spans="1:6" x14ac:dyDescent="0.3">
      <c r="A131" s="19">
        <v>41460</v>
      </c>
      <c r="B131" s="20">
        <v>241.35319999999999</v>
      </c>
      <c r="C131" s="19">
        <v>41467</v>
      </c>
      <c r="D131" s="20">
        <v>25.181799999999999</v>
      </c>
      <c r="F131" s="43"/>
    </row>
    <row r="132" spans="1:6" x14ac:dyDescent="0.3">
      <c r="A132" s="19">
        <v>41463</v>
      </c>
      <c r="B132" s="20">
        <v>239.83420000000001</v>
      </c>
      <c r="C132" s="19">
        <v>41470</v>
      </c>
      <c r="D132" s="20">
        <v>25.1951</v>
      </c>
      <c r="F132" s="43"/>
    </row>
    <row r="133" spans="1:6" x14ac:dyDescent="0.3">
      <c r="A133" s="19">
        <v>41464</v>
      </c>
      <c r="B133" s="20">
        <v>241.65289999999999</v>
      </c>
      <c r="C133" s="19">
        <v>41471</v>
      </c>
      <c r="D133" s="20">
        <v>24.5992</v>
      </c>
      <c r="F133" s="43"/>
    </row>
    <row r="134" spans="1:6" x14ac:dyDescent="0.3">
      <c r="A134" s="19">
        <v>41465</v>
      </c>
      <c r="B134" s="20">
        <v>240.4684</v>
      </c>
      <c r="C134" s="19">
        <v>41472</v>
      </c>
      <c r="D134" s="20">
        <v>24.627199999999998</v>
      </c>
      <c r="F134" s="43"/>
    </row>
    <row r="135" spans="1:6" x14ac:dyDescent="0.3">
      <c r="A135" s="19">
        <v>41466</v>
      </c>
      <c r="B135" s="20">
        <v>243.9367</v>
      </c>
      <c r="C135" s="19">
        <v>41473</v>
      </c>
      <c r="D135" s="20">
        <v>24.716999999999999</v>
      </c>
      <c r="F135" s="43"/>
    </row>
    <row r="136" spans="1:6" x14ac:dyDescent="0.3">
      <c r="A136" s="19">
        <v>41467</v>
      </c>
      <c r="B136" s="20">
        <v>246.52289999999999</v>
      </c>
      <c r="C136" s="19">
        <v>41474</v>
      </c>
      <c r="D136" s="20">
        <v>24.750399999999999</v>
      </c>
      <c r="F136" s="43"/>
    </row>
    <row r="137" spans="1:6" x14ac:dyDescent="0.3">
      <c r="A137" s="19">
        <v>41470</v>
      </c>
      <c r="B137" s="20">
        <v>247.398</v>
      </c>
      <c r="C137" s="19">
        <v>41477</v>
      </c>
      <c r="D137" s="20">
        <v>24.5563</v>
      </c>
      <c r="F137" s="43"/>
    </row>
    <row r="138" spans="1:6" x14ac:dyDescent="0.3">
      <c r="A138" s="19">
        <v>41471</v>
      </c>
      <c r="B138" s="20">
        <v>243.9846</v>
      </c>
      <c r="C138" s="19">
        <v>41478</v>
      </c>
      <c r="D138" s="20">
        <v>24.459900000000001</v>
      </c>
      <c r="F138" s="43"/>
    </row>
    <row r="139" spans="1:6" x14ac:dyDescent="0.3">
      <c r="A139" s="19">
        <v>41472</v>
      </c>
      <c r="B139" s="20">
        <v>243.16220000000001</v>
      </c>
      <c r="C139" s="19">
        <v>41479</v>
      </c>
      <c r="D139" s="20">
        <v>24.183299999999999</v>
      </c>
      <c r="F139" s="43"/>
    </row>
    <row r="140" spans="1:6" x14ac:dyDescent="0.3">
      <c r="A140" s="19">
        <v>41473</v>
      </c>
      <c r="B140" s="20">
        <v>245.40020000000001</v>
      </c>
      <c r="C140" s="19">
        <v>41480</v>
      </c>
      <c r="D140" s="20">
        <v>24.463200000000001</v>
      </c>
      <c r="F140" s="43"/>
    </row>
    <row r="141" spans="1:6" x14ac:dyDescent="0.3">
      <c r="A141" s="19">
        <v>41474</v>
      </c>
      <c r="B141" s="20">
        <v>245.09520000000001</v>
      </c>
      <c r="C141" s="19">
        <v>41481</v>
      </c>
      <c r="D141" s="20">
        <v>24.485700000000001</v>
      </c>
      <c r="F141" s="43"/>
    </row>
    <row r="142" spans="1:6" x14ac:dyDescent="0.3">
      <c r="A142" s="19">
        <v>41477</v>
      </c>
      <c r="B142" s="20">
        <v>245.3664</v>
      </c>
      <c r="C142" s="19">
        <v>41484</v>
      </c>
      <c r="D142" s="20">
        <v>24.516200000000001</v>
      </c>
      <c r="F142" s="43"/>
    </row>
    <row r="143" spans="1:6" x14ac:dyDescent="0.3">
      <c r="A143" s="19">
        <v>41478</v>
      </c>
      <c r="B143" s="20">
        <v>246.00380000000001</v>
      </c>
      <c r="C143" s="19">
        <v>41485</v>
      </c>
      <c r="D143" s="20">
        <v>24.359500000000001</v>
      </c>
      <c r="F143" s="43"/>
    </row>
    <row r="144" spans="1:6" x14ac:dyDescent="0.3">
      <c r="A144" s="19">
        <v>41479</v>
      </c>
      <c r="B144" s="20">
        <v>242.73599999999999</v>
      </c>
      <c r="C144" s="19">
        <v>41486</v>
      </c>
      <c r="D144" s="20">
        <v>24.447500000000002</v>
      </c>
      <c r="F144" s="43"/>
    </row>
    <row r="145" spans="1:6" x14ac:dyDescent="0.3">
      <c r="A145" s="19">
        <v>41480</v>
      </c>
      <c r="B145" s="20">
        <v>240.15369999999999</v>
      </c>
      <c r="C145" s="19">
        <v>41487</v>
      </c>
      <c r="D145" s="20">
        <v>24.586200000000002</v>
      </c>
      <c r="F145" s="43"/>
    </row>
    <row r="146" spans="1:6" x14ac:dyDescent="0.3">
      <c r="A146" s="19">
        <v>41481</v>
      </c>
      <c r="B146" s="20">
        <v>238.80840000000001</v>
      </c>
      <c r="C146" s="19">
        <v>41488</v>
      </c>
      <c r="D146" s="20">
        <v>24.3293</v>
      </c>
      <c r="F146" s="43"/>
    </row>
    <row r="147" spans="1:6" x14ac:dyDescent="0.3">
      <c r="A147" s="19">
        <v>41484</v>
      </c>
      <c r="B147" s="20">
        <v>237.43950000000001</v>
      </c>
      <c r="C147" s="19">
        <v>41491</v>
      </c>
      <c r="D147" s="20">
        <v>24.434699999999999</v>
      </c>
      <c r="F147" s="43"/>
    </row>
    <row r="148" spans="1:6" x14ac:dyDescent="0.3">
      <c r="A148" s="19">
        <v>41485</v>
      </c>
      <c r="B148" s="20">
        <v>233.96520000000001</v>
      </c>
      <c r="C148" s="19">
        <v>41492</v>
      </c>
      <c r="D148" s="20">
        <v>24.4451</v>
      </c>
      <c r="F148" s="43"/>
    </row>
    <row r="149" spans="1:6" x14ac:dyDescent="0.3">
      <c r="A149" s="19">
        <v>41486</v>
      </c>
      <c r="B149" s="20">
        <v>235.08019999999999</v>
      </c>
      <c r="C149" s="19">
        <v>41493</v>
      </c>
      <c r="D149" s="20">
        <v>24.523099999999999</v>
      </c>
      <c r="F149" s="43"/>
    </row>
    <row r="150" spans="1:6" x14ac:dyDescent="0.3">
      <c r="A150" s="19">
        <v>41487</v>
      </c>
      <c r="B150" s="20">
        <v>234.56049999999999</v>
      </c>
      <c r="C150" s="19">
        <v>41494</v>
      </c>
      <c r="D150" s="20">
        <v>24.562899999999999</v>
      </c>
      <c r="F150" s="43"/>
    </row>
    <row r="151" spans="1:6" x14ac:dyDescent="0.3">
      <c r="A151" s="19">
        <v>41488</v>
      </c>
      <c r="B151" s="20">
        <v>232.5677</v>
      </c>
      <c r="C151" s="19">
        <v>41498</v>
      </c>
      <c r="D151" s="20">
        <v>24.286200000000001</v>
      </c>
      <c r="F151" s="43"/>
    </row>
    <row r="152" spans="1:6" x14ac:dyDescent="0.3">
      <c r="A152" s="19">
        <v>41491</v>
      </c>
      <c r="B152" s="20">
        <v>232.036</v>
      </c>
      <c r="C152" s="19">
        <v>41499</v>
      </c>
      <c r="D152" s="20">
        <v>24.119199999999999</v>
      </c>
      <c r="F152" s="43"/>
    </row>
    <row r="153" spans="1:6" x14ac:dyDescent="0.3">
      <c r="A153" s="19">
        <v>41492</v>
      </c>
      <c r="B153" s="20">
        <v>226.58940000000001</v>
      </c>
      <c r="C153" s="19">
        <v>41500</v>
      </c>
      <c r="D153" s="20">
        <v>23.999199999999998</v>
      </c>
      <c r="F153" s="43"/>
    </row>
    <row r="154" spans="1:6" x14ac:dyDescent="0.3">
      <c r="A154" s="19">
        <v>41493</v>
      </c>
      <c r="B154" s="20">
        <v>227.5676</v>
      </c>
      <c r="C154" s="19">
        <v>41502</v>
      </c>
      <c r="D154" s="20">
        <v>23.433399999999999</v>
      </c>
      <c r="F154" s="43"/>
    </row>
    <row r="155" spans="1:6" x14ac:dyDescent="0.3">
      <c r="A155" s="19">
        <v>41494</v>
      </c>
      <c r="B155" s="20">
        <v>229.4752</v>
      </c>
      <c r="C155" s="19">
        <v>41505</v>
      </c>
      <c r="D155" s="20">
        <v>22.959099999999999</v>
      </c>
      <c r="F155" s="43"/>
    </row>
    <row r="156" spans="1:6" x14ac:dyDescent="0.3">
      <c r="A156" s="19">
        <v>41498</v>
      </c>
      <c r="B156" s="20">
        <v>230.68350000000001</v>
      </c>
      <c r="C156" s="19">
        <v>41506</v>
      </c>
      <c r="D156" s="20">
        <v>23.456199999999999</v>
      </c>
      <c r="F156" s="43"/>
    </row>
    <row r="157" spans="1:6" x14ac:dyDescent="0.3">
      <c r="A157" s="19">
        <v>41499</v>
      </c>
      <c r="B157" s="20">
        <v>234.16059999999999</v>
      </c>
      <c r="C157" s="19">
        <v>41507</v>
      </c>
      <c r="D157" s="20">
        <v>24.234200000000001</v>
      </c>
      <c r="F157" s="43"/>
    </row>
    <row r="158" spans="1:6" x14ac:dyDescent="0.3">
      <c r="A158" s="19">
        <v>41500</v>
      </c>
      <c r="B158" s="20">
        <v>235.2483</v>
      </c>
      <c r="C158" s="19">
        <v>41508</v>
      </c>
      <c r="D158" s="20">
        <v>24.5137</v>
      </c>
      <c r="F158" s="43"/>
    </row>
    <row r="159" spans="1:6" x14ac:dyDescent="0.3">
      <c r="A159" s="19">
        <v>41502</v>
      </c>
      <c r="B159" s="20">
        <v>228.0907</v>
      </c>
      <c r="C159" s="19">
        <v>41509</v>
      </c>
      <c r="D159" s="20">
        <v>24.454799999999999</v>
      </c>
      <c r="F159" s="43"/>
    </row>
    <row r="160" spans="1:6" x14ac:dyDescent="0.3">
      <c r="A160" s="19">
        <v>41505</v>
      </c>
      <c r="B160" s="20">
        <v>224.09630000000001</v>
      </c>
      <c r="C160" s="19">
        <v>41512</v>
      </c>
      <c r="D160" s="20">
        <v>24.391500000000001</v>
      </c>
      <c r="F160" s="43"/>
    </row>
    <row r="161" spans="1:6" x14ac:dyDescent="0.3">
      <c r="A161" s="19">
        <v>41506</v>
      </c>
      <c r="B161" s="20">
        <v>223.46420000000001</v>
      </c>
      <c r="C161" s="19">
        <v>41513</v>
      </c>
      <c r="D161" s="20">
        <v>23.760300000000001</v>
      </c>
      <c r="F161" s="43"/>
    </row>
    <row r="162" spans="1:6" x14ac:dyDescent="0.3">
      <c r="A162" s="19">
        <v>41507</v>
      </c>
      <c r="B162" s="20">
        <v>220.7456</v>
      </c>
      <c r="C162" s="19">
        <v>41514</v>
      </c>
      <c r="D162" s="20">
        <v>23.507400000000001</v>
      </c>
      <c r="F162" s="43"/>
    </row>
    <row r="163" spans="1:6" x14ac:dyDescent="0.3">
      <c r="A163" s="19">
        <v>41508</v>
      </c>
      <c r="B163" s="20">
        <v>223.47450000000001</v>
      </c>
      <c r="C163" s="19">
        <v>41515</v>
      </c>
      <c r="D163" s="20">
        <v>23.787099999999999</v>
      </c>
      <c r="F163" s="43"/>
    </row>
    <row r="164" spans="1:6" x14ac:dyDescent="0.3">
      <c r="A164" s="19">
        <v>41509</v>
      </c>
      <c r="B164" s="20">
        <v>224.71729999999999</v>
      </c>
      <c r="C164" s="19">
        <v>41516</v>
      </c>
      <c r="D164" s="20">
        <v>23.924499999999998</v>
      </c>
      <c r="F164" s="43"/>
    </row>
    <row r="165" spans="1:6" x14ac:dyDescent="0.3">
      <c r="A165" s="19">
        <v>41512</v>
      </c>
      <c r="B165" s="20">
        <v>225.3107</v>
      </c>
      <c r="C165" s="19">
        <v>41519</v>
      </c>
      <c r="D165" s="20">
        <v>24.2483</v>
      </c>
      <c r="F165" s="43"/>
    </row>
    <row r="166" spans="1:6" x14ac:dyDescent="0.3">
      <c r="A166" s="19">
        <v>41513</v>
      </c>
      <c r="B166" s="20">
        <v>219.74420000000001</v>
      </c>
      <c r="C166" s="19">
        <v>41520</v>
      </c>
      <c r="D166" s="20">
        <v>24.053899999999999</v>
      </c>
      <c r="F166" s="43"/>
    </row>
    <row r="167" spans="1:6" x14ac:dyDescent="0.3">
      <c r="A167" s="19">
        <v>41514</v>
      </c>
      <c r="B167" s="20">
        <v>218.0385</v>
      </c>
      <c r="C167" s="19">
        <v>41521</v>
      </c>
      <c r="D167" s="20">
        <v>24.284099999999999</v>
      </c>
      <c r="F167" s="43"/>
    </row>
    <row r="168" spans="1:6" x14ac:dyDescent="0.3">
      <c r="A168" s="19">
        <v>41515</v>
      </c>
      <c r="B168" s="20">
        <v>222.2782</v>
      </c>
      <c r="C168" s="19">
        <v>41522</v>
      </c>
      <c r="D168" s="20">
        <v>24.2576</v>
      </c>
      <c r="F168" s="43"/>
    </row>
    <row r="169" spans="1:6" x14ac:dyDescent="0.3">
      <c r="A169" s="19">
        <v>41516</v>
      </c>
      <c r="B169" s="20">
        <v>223.4676</v>
      </c>
      <c r="C169" s="19">
        <v>41523</v>
      </c>
      <c r="D169" s="20">
        <v>23.9969</v>
      </c>
      <c r="F169" s="43"/>
    </row>
    <row r="170" spans="1:6" x14ac:dyDescent="0.3">
      <c r="A170" s="19">
        <v>41519</v>
      </c>
      <c r="B170" s="20">
        <v>225.14179999999999</v>
      </c>
      <c r="C170" s="19">
        <v>41527</v>
      </c>
      <c r="D170" s="20">
        <v>24.1736</v>
      </c>
      <c r="F170" s="43"/>
    </row>
    <row r="171" spans="1:6" x14ac:dyDescent="0.3">
      <c r="A171" s="19">
        <v>41520</v>
      </c>
      <c r="B171" s="20">
        <v>218.8511</v>
      </c>
      <c r="C171" s="19">
        <v>41528</v>
      </c>
      <c r="D171" s="20">
        <v>24.192</v>
      </c>
      <c r="F171" s="43"/>
    </row>
    <row r="172" spans="1:6" x14ac:dyDescent="0.3">
      <c r="A172" s="19">
        <v>41521</v>
      </c>
      <c r="B172" s="20">
        <v>223.24520000000001</v>
      </c>
      <c r="C172" s="19">
        <v>41529</v>
      </c>
      <c r="D172" s="20">
        <v>24.155000000000001</v>
      </c>
      <c r="F172" s="43"/>
    </row>
    <row r="173" spans="1:6" x14ac:dyDescent="0.3">
      <c r="A173" s="19">
        <v>41522</v>
      </c>
      <c r="B173" s="20">
        <v>228.3014</v>
      </c>
      <c r="C173" s="19">
        <v>41530</v>
      </c>
      <c r="D173" s="20">
        <v>24.174499999999998</v>
      </c>
      <c r="F173" s="43"/>
    </row>
    <row r="174" spans="1:6" x14ac:dyDescent="0.3">
      <c r="A174" s="19">
        <v>41523</v>
      </c>
      <c r="B174" s="20">
        <v>232.18279999999999</v>
      </c>
      <c r="C174" s="19">
        <v>41533</v>
      </c>
      <c r="D174" s="20">
        <v>24.245999999999999</v>
      </c>
      <c r="F174" s="43"/>
    </row>
    <row r="175" spans="1:6" x14ac:dyDescent="0.3">
      <c r="A175" s="19">
        <v>41527</v>
      </c>
      <c r="B175" s="20">
        <v>237.7088</v>
      </c>
      <c r="C175" s="19">
        <v>41534</v>
      </c>
      <c r="D175" s="20">
        <v>24.249600000000001</v>
      </c>
      <c r="F175" s="43"/>
    </row>
    <row r="176" spans="1:6" x14ac:dyDescent="0.3">
      <c r="A176" s="19">
        <v>41528</v>
      </c>
      <c r="B176" s="20">
        <v>238.71449999999999</v>
      </c>
      <c r="C176" s="19">
        <v>41535</v>
      </c>
      <c r="D176" s="20">
        <v>24.382100000000001</v>
      </c>
      <c r="F176" s="43"/>
    </row>
    <row r="177" spans="1:6" x14ac:dyDescent="0.3">
      <c r="A177" s="19">
        <v>41529</v>
      </c>
      <c r="B177" s="20">
        <v>237.13290000000001</v>
      </c>
      <c r="C177" s="19">
        <v>41536</v>
      </c>
      <c r="D177" s="20">
        <v>24.751100000000001</v>
      </c>
      <c r="F177" s="43"/>
    </row>
    <row r="178" spans="1:6" x14ac:dyDescent="0.3">
      <c r="A178" s="19">
        <v>41530</v>
      </c>
      <c r="B178" s="20">
        <v>237.27600000000001</v>
      </c>
      <c r="C178" s="19">
        <v>41537</v>
      </c>
      <c r="D178" s="20">
        <v>24.2209</v>
      </c>
      <c r="F178" s="43"/>
    </row>
    <row r="179" spans="1:6" x14ac:dyDescent="0.3">
      <c r="A179" s="19">
        <v>41533</v>
      </c>
      <c r="B179" s="20">
        <v>238.51499999999999</v>
      </c>
      <c r="C179" s="19">
        <v>41540</v>
      </c>
      <c r="D179" s="20">
        <v>23.976700000000001</v>
      </c>
      <c r="F179" s="43"/>
    </row>
    <row r="180" spans="1:6" x14ac:dyDescent="0.3">
      <c r="A180" s="19">
        <v>41534</v>
      </c>
      <c r="B180" s="20">
        <v>238.73349999999999</v>
      </c>
      <c r="C180" s="19">
        <v>41541</v>
      </c>
      <c r="D180" s="20">
        <v>23.9651</v>
      </c>
      <c r="F180" s="43"/>
    </row>
    <row r="181" spans="1:6" x14ac:dyDescent="0.3">
      <c r="A181" s="19">
        <v>41535</v>
      </c>
      <c r="B181" s="20">
        <v>240.3681</v>
      </c>
      <c r="C181" s="19">
        <v>41542</v>
      </c>
      <c r="D181" s="20">
        <v>23.957599999999999</v>
      </c>
      <c r="F181" s="43"/>
    </row>
    <row r="182" spans="1:6" x14ac:dyDescent="0.3">
      <c r="A182" s="19">
        <v>41536</v>
      </c>
      <c r="B182" s="20">
        <v>247.44030000000001</v>
      </c>
      <c r="C182" s="19">
        <v>41543</v>
      </c>
      <c r="D182" s="20">
        <v>24.019100000000002</v>
      </c>
      <c r="F182" s="43"/>
    </row>
    <row r="183" spans="1:6" x14ac:dyDescent="0.3">
      <c r="A183" s="19">
        <v>41537</v>
      </c>
      <c r="B183" s="20">
        <v>245.12540000000001</v>
      </c>
      <c r="C183" s="19">
        <v>41544</v>
      </c>
      <c r="D183" s="20">
        <v>24.0563</v>
      </c>
      <c r="F183" s="43"/>
    </row>
    <row r="184" spans="1:6" x14ac:dyDescent="0.3">
      <c r="A184" s="19">
        <v>41540</v>
      </c>
      <c r="B184" s="20">
        <v>241.27770000000001</v>
      </c>
      <c r="C184" s="19">
        <v>41547</v>
      </c>
      <c r="D184" s="20">
        <v>24.031500000000001</v>
      </c>
      <c r="F184" s="43"/>
    </row>
    <row r="185" spans="1:6" x14ac:dyDescent="0.3">
      <c r="A185" s="19">
        <v>41541</v>
      </c>
      <c r="B185" s="20">
        <v>241.6225</v>
      </c>
      <c r="C185" s="19">
        <v>41548</v>
      </c>
      <c r="D185" s="20">
        <v>24.115100000000002</v>
      </c>
      <c r="F185" s="43"/>
    </row>
    <row r="186" spans="1:6" x14ac:dyDescent="0.3">
      <c r="A186" s="19">
        <v>41542</v>
      </c>
      <c r="B186" s="20">
        <v>240.72579999999999</v>
      </c>
      <c r="C186" s="19">
        <v>41550</v>
      </c>
      <c r="D186" s="20">
        <v>24.270299999999999</v>
      </c>
      <c r="F186" s="43"/>
    </row>
    <row r="187" spans="1:6" x14ac:dyDescent="0.3">
      <c r="A187" s="19">
        <v>41543</v>
      </c>
      <c r="B187" s="20">
        <v>240.62989999999999</v>
      </c>
      <c r="C187" s="19">
        <v>41551</v>
      </c>
      <c r="D187" s="20">
        <v>24.328700000000001</v>
      </c>
      <c r="F187" s="43"/>
    </row>
    <row r="188" spans="1:6" x14ac:dyDescent="0.3">
      <c r="A188" s="19">
        <v>41544</v>
      </c>
      <c r="B188" s="20">
        <v>238.90260000000001</v>
      </c>
      <c r="C188" s="19">
        <v>41554</v>
      </c>
      <c r="D188" s="20">
        <v>24.2941</v>
      </c>
      <c r="F188" s="43"/>
    </row>
    <row r="189" spans="1:6" x14ac:dyDescent="0.3">
      <c r="A189" s="19">
        <v>41547</v>
      </c>
      <c r="B189" s="20">
        <v>236.08349999999999</v>
      </c>
      <c r="C189" s="19">
        <v>41555</v>
      </c>
      <c r="D189" s="20">
        <v>24.605499999999999</v>
      </c>
      <c r="F189" s="43"/>
    </row>
    <row r="190" spans="1:6" x14ac:dyDescent="0.3">
      <c r="A190" s="19">
        <v>41548</v>
      </c>
      <c r="B190" s="20">
        <v>237.46180000000001</v>
      </c>
      <c r="C190" s="19">
        <v>41556</v>
      </c>
      <c r="D190" s="20">
        <v>24.669499999999999</v>
      </c>
      <c r="F190" s="43"/>
    </row>
    <row r="191" spans="1:6" x14ac:dyDescent="0.3">
      <c r="A191" s="19">
        <v>41550</v>
      </c>
      <c r="B191" s="20">
        <v>240.89429999999999</v>
      </c>
      <c r="C191" s="19">
        <v>41557</v>
      </c>
      <c r="D191" s="20">
        <v>24.706</v>
      </c>
      <c r="F191" s="43"/>
    </row>
    <row r="192" spans="1:6" x14ac:dyDescent="0.3">
      <c r="A192" s="19">
        <v>41551</v>
      </c>
      <c r="B192" s="20">
        <v>240.71469999999999</v>
      </c>
      <c r="C192" s="19">
        <v>41558</v>
      </c>
      <c r="D192" s="20">
        <v>24.6584</v>
      </c>
      <c r="F192" s="43"/>
    </row>
    <row r="193" spans="1:6" x14ac:dyDescent="0.3">
      <c r="A193" s="19">
        <v>41554</v>
      </c>
      <c r="B193" s="20">
        <v>239.9761</v>
      </c>
      <c r="C193" s="19">
        <v>41561</v>
      </c>
      <c r="D193" s="20">
        <v>24.563400000000001</v>
      </c>
      <c r="F193" s="43"/>
    </row>
    <row r="194" spans="1:6" x14ac:dyDescent="0.3">
      <c r="A194" s="19">
        <v>41555</v>
      </c>
      <c r="B194" s="20">
        <v>241.1884</v>
      </c>
      <c r="C194" s="19">
        <v>41562</v>
      </c>
      <c r="D194" s="20">
        <v>24.424700000000001</v>
      </c>
      <c r="F194" s="43"/>
    </row>
    <row r="195" spans="1:6" x14ac:dyDescent="0.3">
      <c r="A195" s="19">
        <v>41556</v>
      </c>
      <c r="B195" s="20">
        <v>243.79339999999999</v>
      </c>
      <c r="C195" s="19">
        <v>41564</v>
      </c>
      <c r="D195" s="20">
        <v>24.541499999999999</v>
      </c>
      <c r="F195" s="43"/>
    </row>
    <row r="196" spans="1:6" x14ac:dyDescent="0.3">
      <c r="A196" s="19">
        <v>41557</v>
      </c>
      <c r="B196" s="20">
        <v>244.62479999999999</v>
      </c>
      <c r="C196" s="19">
        <v>41565</v>
      </c>
      <c r="D196" s="20">
        <v>24.634399999999999</v>
      </c>
      <c r="F196" s="43"/>
    </row>
    <row r="197" spans="1:6" x14ac:dyDescent="0.3">
      <c r="A197" s="19">
        <v>41558</v>
      </c>
      <c r="B197" s="20">
        <v>247.17230000000001</v>
      </c>
      <c r="C197" s="19">
        <v>41568</v>
      </c>
      <c r="D197" s="20">
        <v>24.582599999999999</v>
      </c>
      <c r="F197" s="43"/>
    </row>
    <row r="198" spans="1:6" x14ac:dyDescent="0.3">
      <c r="A198" s="19">
        <v>41561</v>
      </c>
      <c r="B198" s="20">
        <v>248.26339999999999</v>
      </c>
      <c r="C198" s="19">
        <v>41569</v>
      </c>
      <c r="D198" s="20">
        <v>24.566600000000001</v>
      </c>
      <c r="F198" s="43"/>
    </row>
    <row r="199" spans="1:6" x14ac:dyDescent="0.3">
      <c r="A199" s="19">
        <v>41562</v>
      </c>
      <c r="B199" s="20">
        <v>246.8364</v>
      </c>
      <c r="C199" s="19">
        <v>41570</v>
      </c>
      <c r="D199" s="20">
        <v>24.533000000000001</v>
      </c>
      <c r="F199" s="43"/>
    </row>
    <row r="200" spans="1:6" x14ac:dyDescent="0.3">
      <c r="A200" s="19">
        <v>41564</v>
      </c>
      <c r="B200" s="20">
        <v>246.33430000000001</v>
      </c>
      <c r="C200" s="19">
        <v>41571</v>
      </c>
      <c r="D200" s="20">
        <v>24.598099999999999</v>
      </c>
      <c r="F200" s="43"/>
    </row>
    <row r="201" spans="1:6" x14ac:dyDescent="0.3">
      <c r="A201" s="19">
        <v>41565</v>
      </c>
      <c r="B201" s="20">
        <v>250.8372</v>
      </c>
      <c r="C201" s="19">
        <v>41572</v>
      </c>
      <c r="D201" s="20">
        <v>24.5959</v>
      </c>
      <c r="F201" s="43"/>
    </row>
    <row r="202" spans="1:6" x14ac:dyDescent="0.3">
      <c r="A202" s="19">
        <v>41568</v>
      </c>
      <c r="B202" s="20">
        <v>251.9246</v>
      </c>
      <c r="C202" s="19">
        <v>41575</v>
      </c>
      <c r="D202" s="20">
        <v>24.4984</v>
      </c>
      <c r="F202" s="43"/>
    </row>
    <row r="203" spans="1:6" x14ac:dyDescent="0.3">
      <c r="A203" s="19">
        <v>41569</v>
      </c>
      <c r="B203" s="20">
        <v>252.23910000000001</v>
      </c>
      <c r="C203" s="19">
        <v>41576</v>
      </c>
      <c r="D203" s="20">
        <v>24.693300000000001</v>
      </c>
      <c r="F203" s="43"/>
    </row>
    <row r="204" spans="1:6" x14ac:dyDescent="0.3">
      <c r="A204" s="19">
        <v>41570</v>
      </c>
      <c r="B204" s="20">
        <v>251.13300000000001</v>
      </c>
      <c r="C204" s="19">
        <v>41577</v>
      </c>
      <c r="D204" s="20">
        <v>24.683700000000002</v>
      </c>
      <c r="F204" s="43"/>
    </row>
    <row r="205" spans="1:6" x14ac:dyDescent="0.3">
      <c r="A205" s="19">
        <v>41571</v>
      </c>
      <c r="B205" s="20">
        <v>250.85939999999999</v>
      </c>
      <c r="C205" s="19">
        <v>41578</v>
      </c>
      <c r="D205" s="20">
        <v>24.631799999999998</v>
      </c>
      <c r="F205" s="43"/>
    </row>
    <row r="206" spans="1:6" x14ac:dyDescent="0.3">
      <c r="A206" s="19">
        <v>41572</v>
      </c>
      <c r="B206" s="20">
        <v>250.59639999999999</v>
      </c>
      <c r="C206" s="19">
        <v>41579</v>
      </c>
      <c r="D206" s="20">
        <v>24.558</v>
      </c>
      <c r="F206" s="43"/>
    </row>
    <row r="207" spans="1:6" x14ac:dyDescent="0.3">
      <c r="A207" s="19">
        <v>41575</v>
      </c>
      <c r="B207" s="20">
        <v>249.27029999999999</v>
      </c>
      <c r="C207" s="19">
        <v>41584</v>
      </c>
      <c r="D207" s="20">
        <v>24.4268</v>
      </c>
      <c r="F207" s="43"/>
    </row>
    <row r="208" spans="1:6" x14ac:dyDescent="0.3">
      <c r="A208" s="19">
        <v>41576</v>
      </c>
      <c r="B208" s="20">
        <v>253.51830000000001</v>
      </c>
      <c r="C208" s="19">
        <v>41585</v>
      </c>
      <c r="D208" s="20">
        <v>24.387699999999999</v>
      </c>
      <c r="F208" s="43"/>
    </row>
    <row r="209" spans="1:6" x14ac:dyDescent="0.3">
      <c r="A209" s="19">
        <v>41577</v>
      </c>
      <c r="B209" s="20">
        <v>255.74279999999999</v>
      </c>
      <c r="C209" s="19">
        <v>41586</v>
      </c>
      <c r="D209" s="20">
        <v>24.22</v>
      </c>
      <c r="F209" s="43"/>
    </row>
    <row r="210" spans="1:6" x14ac:dyDescent="0.3">
      <c r="A210" s="19">
        <v>41578</v>
      </c>
      <c r="B210" s="20">
        <v>257.31099999999998</v>
      </c>
      <c r="C210" s="19">
        <v>41589</v>
      </c>
      <c r="D210" s="20">
        <v>24.272500000000001</v>
      </c>
      <c r="F210" s="43"/>
    </row>
    <row r="211" spans="1:6" x14ac:dyDescent="0.3">
      <c r="A211" s="19">
        <v>41579</v>
      </c>
      <c r="B211" s="20">
        <v>258.64859999999999</v>
      </c>
      <c r="C211" s="19">
        <v>41590</v>
      </c>
      <c r="D211" s="20">
        <v>24.146100000000001</v>
      </c>
      <c r="F211" s="43"/>
    </row>
    <row r="212" spans="1:6" x14ac:dyDescent="0.3">
      <c r="A212" s="19">
        <v>41583</v>
      </c>
      <c r="B212" s="20">
        <v>259.00099999999998</v>
      </c>
      <c r="C212" s="19">
        <v>41591</v>
      </c>
      <c r="D212" s="20">
        <v>24.366700000000002</v>
      </c>
      <c r="F212" s="43"/>
    </row>
    <row r="213" spans="1:6" x14ac:dyDescent="0.3">
      <c r="A213" s="19">
        <v>41584</v>
      </c>
      <c r="B213" s="20">
        <v>257.97359999999998</v>
      </c>
      <c r="C213" s="19">
        <v>41592</v>
      </c>
      <c r="D213" s="20">
        <v>24.240600000000001</v>
      </c>
      <c r="F213" s="43"/>
    </row>
    <row r="214" spans="1:6" x14ac:dyDescent="0.3">
      <c r="A214" s="19">
        <v>41585</v>
      </c>
      <c r="B214" s="20">
        <v>256.11840000000001</v>
      </c>
      <c r="C214" s="19">
        <v>41596</v>
      </c>
      <c r="D214" s="20">
        <v>24.3505</v>
      </c>
      <c r="F214" s="43"/>
    </row>
    <row r="215" spans="1:6" x14ac:dyDescent="0.3">
      <c r="A215" s="19">
        <v>41586</v>
      </c>
      <c r="B215" s="20">
        <v>254.83879999999999</v>
      </c>
      <c r="C215" s="19">
        <v>41597</v>
      </c>
      <c r="D215" s="20">
        <v>24.325099999999999</v>
      </c>
      <c r="F215" s="43"/>
    </row>
    <row r="216" spans="1:6" x14ac:dyDescent="0.3">
      <c r="A216" s="19">
        <v>41589</v>
      </c>
      <c r="B216" s="20">
        <v>253.56569999999999</v>
      </c>
      <c r="C216" s="19">
        <v>41598</v>
      </c>
      <c r="D216" s="20">
        <v>24.3017</v>
      </c>
      <c r="F216" s="43"/>
    </row>
    <row r="217" spans="1:6" x14ac:dyDescent="0.3">
      <c r="A217" s="19">
        <v>41590</v>
      </c>
      <c r="B217" s="20">
        <v>252.04179999999999</v>
      </c>
      <c r="C217" s="19">
        <v>41599</v>
      </c>
      <c r="D217" s="20">
        <v>24.252199999999998</v>
      </c>
      <c r="F217" s="43"/>
    </row>
    <row r="218" spans="1:6" x14ac:dyDescent="0.3">
      <c r="A218" s="19">
        <v>41591</v>
      </c>
      <c r="B218" s="20">
        <v>250.54329999999999</v>
      </c>
      <c r="C218" s="19">
        <v>41600</v>
      </c>
      <c r="D218" s="20">
        <v>24.232800000000001</v>
      </c>
      <c r="F218" s="43"/>
    </row>
    <row r="219" spans="1:6" x14ac:dyDescent="0.3">
      <c r="A219" s="19">
        <v>41592</v>
      </c>
      <c r="B219" s="20">
        <v>252.88220000000001</v>
      </c>
      <c r="C219" s="19">
        <v>41603</v>
      </c>
      <c r="D219" s="20">
        <v>24.259799999999998</v>
      </c>
      <c r="F219" s="43"/>
    </row>
    <row r="220" spans="1:6" x14ac:dyDescent="0.3">
      <c r="A220" s="19">
        <v>41596</v>
      </c>
      <c r="B220" s="20">
        <v>256.1146</v>
      </c>
      <c r="C220" s="19">
        <v>41604</v>
      </c>
      <c r="D220" s="20">
        <v>24.2973</v>
      </c>
      <c r="F220" s="43"/>
    </row>
    <row r="221" spans="1:6" x14ac:dyDescent="0.3">
      <c r="A221" s="19">
        <v>41597</v>
      </c>
      <c r="B221" s="20">
        <v>257.06049999999999</v>
      </c>
      <c r="C221" s="19">
        <v>41605</v>
      </c>
      <c r="D221" s="20">
        <v>24.377400000000002</v>
      </c>
      <c r="F221" s="43"/>
    </row>
    <row r="222" spans="1:6" x14ac:dyDescent="0.3">
      <c r="A222" s="19">
        <v>41598</v>
      </c>
      <c r="B222" s="20">
        <v>255.41319999999999</v>
      </c>
      <c r="C222" s="19">
        <v>41606</v>
      </c>
      <c r="D222" s="20">
        <v>24.366399999999999</v>
      </c>
      <c r="F222" s="43"/>
    </row>
    <row r="223" spans="1:6" x14ac:dyDescent="0.3">
      <c r="A223" s="19">
        <v>41599</v>
      </c>
      <c r="B223" s="20">
        <v>251.9819</v>
      </c>
      <c r="C223" s="19">
        <v>41607</v>
      </c>
      <c r="D223" s="20">
        <v>24.3353</v>
      </c>
      <c r="F223" s="43"/>
    </row>
    <row r="224" spans="1:6" x14ac:dyDescent="0.3">
      <c r="A224" s="19">
        <v>41600</v>
      </c>
      <c r="B224" s="20">
        <v>252.13900000000001</v>
      </c>
      <c r="C224" s="19">
        <v>41610</v>
      </c>
      <c r="D224" s="20">
        <v>24.368500000000001</v>
      </c>
      <c r="F224" s="43"/>
    </row>
    <row r="225" spans="1:6" x14ac:dyDescent="0.3">
      <c r="A225" s="19">
        <v>41603</v>
      </c>
      <c r="B225" s="20">
        <v>254.9898</v>
      </c>
      <c r="C225" s="19">
        <v>41611</v>
      </c>
      <c r="D225" s="20">
        <v>24.354199999999999</v>
      </c>
      <c r="F225" s="43"/>
    </row>
    <row r="226" spans="1:6" x14ac:dyDescent="0.3">
      <c r="A226" s="19">
        <v>41604</v>
      </c>
      <c r="B226" s="20">
        <v>252.51769999999999</v>
      </c>
      <c r="C226" s="19">
        <v>41612</v>
      </c>
      <c r="D226" s="20">
        <v>24.3477</v>
      </c>
      <c r="F226" s="43"/>
    </row>
    <row r="227" spans="1:6" x14ac:dyDescent="0.3">
      <c r="A227" s="19">
        <v>41605</v>
      </c>
      <c r="B227" s="20">
        <v>252.89340000000001</v>
      </c>
      <c r="C227" s="19">
        <v>41613</v>
      </c>
      <c r="D227" s="20">
        <v>24.355</v>
      </c>
      <c r="F227" s="43"/>
    </row>
    <row r="228" spans="1:6" x14ac:dyDescent="0.3">
      <c r="A228" s="19">
        <v>41606</v>
      </c>
      <c r="B228" s="20">
        <v>254.95779999999999</v>
      </c>
      <c r="C228" s="19">
        <v>41614</v>
      </c>
      <c r="D228" s="20">
        <v>24.285299999999999</v>
      </c>
      <c r="F228" s="43"/>
    </row>
    <row r="229" spans="1:6" x14ac:dyDescent="0.3">
      <c r="A229" s="19">
        <v>41607</v>
      </c>
      <c r="B229" s="20">
        <v>257.87819999999999</v>
      </c>
      <c r="C229" s="19">
        <v>41617</v>
      </c>
      <c r="D229" s="20">
        <v>24.210799999999999</v>
      </c>
      <c r="F229" s="43"/>
    </row>
    <row r="230" spans="1:6" x14ac:dyDescent="0.3">
      <c r="A230" s="19">
        <v>41610</v>
      </c>
      <c r="B230" s="20">
        <v>260.28149999999999</v>
      </c>
      <c r="C230" s="19">
        <v>41618</v>
      </c>
      <c r="D230" s="20">
        <v>24.2714</v>
      </c>
      <c r="F230" s="43"/>
    </row>
    <row r="231" spans="1:6" x14ac:dyDescent="0.3">
      <c r="A231" s="19">
        <v>41611</v>
      </c>
      <c r="B231" s="20">
        <v>260.19779999999997</v>
      </c>
      <c r="C231" s="19">
        <v>41619</v>
      </c>
      <c r="D231" s="20">
        <v>24.272300000000001</v>
      </c>
      <c r="F231" s="43"/>
    </row>
    <row r="232" spans="1:6" x14ac:dyDescent="0.3">
      <c r="A232" s="19">
        <v>41612</v>
      </c>
      <c r="B232" s="20">
        <v>258.96210000000002</v>
      </c>
      <c r="C232" s="19">
        <v>41620</v>
      </c>
      <c r="D232" s="20">
        <v>24.2728</v>
      </c>
      <c r="F232" s="43"/>
    </row>
    <row r="233" spans="1:6" x14ac:dyDescent="0.3">
      <c r="A233" s="19">
        <v>41613</v>
      </c>
      <c r="B233" s="20">
        <v>261.37169999999998</v>
      </c>
      <c r="C233" s="19">
        <v>41621</v>
      </c>
      <c r="D233" s="20">
        <v>24.195599999999999</v>
      </c>
      <c r="F233" s="43"/>
    </row>
    <row r="234" spans="1:6" x14ac:dyDescent="0.3">
      <c r="A234" s="19">
        <v>41614</v>
      </c>
      <c r="B234" s="20">
        <v>261.92290000000003</v>
      </c>
      <c r="C234" s="19">
        <v>41624</v>
      </c>
      <c r="D234" s="20">
        <v>24.244199999999999</v>
      </c>
      <c r="F234" s="43"/>
    </row>
    <row r="235" spans="1:6" x14ac:dyDescent="0.3">
      <c r="A235" s="19">
        <v>41617</v>
      </c>
      <c r="B235" s="20">
        <v>265.04910000000001</v>
      </c>
      <c r="C235" s="19">
        <v>41625</v>
      </c>
      <c r="D235" s="20">
        <v>24.194900000000001</v>
      </c>
      <c r="F235" s="43"/>
    </row>
    <row r="236" spans="1:6" x14ac:dyDescent="0.3">
      <c r="A236" s="19">
        <v>41618</v>
      </c>
      <c r="B236" s="20">
        <v>262.80779999999999</v>
      </c>
      <c r="C236" s="19">
        <v>41626</v>
      </c>
      <c r="D236" s="20">
        <v>24.359200000000001</v>
      </c>
      <c r="F236" s="43"/>
    </row>
    <row r="237" spans="1:6" x14ac:dyDescent="0.3">
      <c r="A237" s="19">
        <v>41619</v>
      </c>
      <c r="B237" s="20">
        <v>262.87819999999999</v>
      </c>
      <c r="C237" s="19">
        <v>41627</v>
      </c>
      <c r="D237" s="20">
        <v>24.462299999999999</v>
      </c>
      <c r="F237" s="43"/>
    </row>
    <row r="238" spans="1:6" x14ac:dyDescent="0.3">
      <c r="A238" s="19">
        <v>41620</v>
      </c>
      <c r="B238" s="20">
        <v>261.09989999999999</v>
      </c>
      <c r="C238" s="19">
        <v>41628</v>
      </c>
      <c r="D238" s="20">
        <v>24.415500000000002</v>
      </c>
      <c r="F238" s="43"/>
    </row>
    <row r="239" spans="1:6" x14ac:dyDescent="0.3">
      <c r="A239" s="19">
        <v>41621</v>
      </c>
      <c r="B239" s="20">
        <v>257.92829999999998</v>
      </c>
      <c r="C239" s="19">
        <v>41631</v>
      </c>
      <c r="D239" s="20">
        <v>24.370200000000001</v>
      </c>
      <c r="F239" s="43"/>
    </row>
    <row r="240" spans="1:6" x14ac:dyDescent="0.3">
      <c r="A240" s="19">
        <v>41624</v>
      </c>
      <c r="B240" s="20">
        <v>257.16989999999998</v>
      </c>
      <c r="C240" s="19">
        <v>41632</v>
      </c>
      <c r="D240" s="20">
        <v>24.324200000000001</v>
      </c>
      <c r="F240" s="43"/>
    </row>
    <row r="241" spans="1:6" x14ac:dyDescent="0.3">
      <c r="A241" s="19">
        <v>41625</v>
      </c>
      <c r="B241" s="20">
        <v>257.74340000000001</v>
      </c>
      <c r="C241" s="19">
        <v>41634</v>
      </c>
      <c r="D241" s="20">
        <v>24.3413</v>
      </c>
      <c r="F241" s="43"/>
    </row>
    <row r="242" spans="1:6" x14ac:dyDescent="0.3">
      <c r="A242" s="19">
        <v>41626</v>
      </c>
      <c r="B242" s="20">
        <v>260.8904</v>
      </c>
      <c r="C242" s="19">
        <v>41635</v>
      </c>
      <c r="D242" s="20">
        <v>24.263300000000001</v>
      </c>
      <c r="F242" s="43"/>
    </row>
    <row r="243" spans="1:6" x14ac:dyDescent="0.3">
      <c r="A243" s="19">
        <v>41627</v>
      </c>
      <c r="B243" s="20">
        <v>259.53469999999999</v>
      </c>
      <c r="C243" s="19">
        <v>41638</v>
      </c>
      <c r="D243" s="20">
        <v>24.383700000000001</v>
      </c>
      <c r="F243" s="43"/>
    </row>
    <row r="244" spans="1:6" x14ac:dyDescent="0.3">
      <c r="A244" s="19">
        <v>41628</v>
      </c>
      <c r="B244" s="20">
        <v>263.9742</v>
      </c>
      <c r="C244" s="19">
        <v>41639</v>
      </c>
      <c r="D244" s="20">
        <v>24.4374</v>
      </c>
      <c r="F244" s="43"/>
    </row>
    <row r="245" spans="1:6" x14ac:dyDescent="0.3">
      <c r="A245" s="19">
        <v>41631</v>
      </c>
      <c r="B245" s="20">
        <v>264.70890000000003</v>
      </c>
      <c r="C245" s="19">
        <v>41640</v>
      </c>
      <c r="D245" s="20">
        <v>24.407800000000002</v>
      </c>
      <c r="F245" s="43"/>
    </row>
    <row r="246" spans="1:6" x14ac:dyDescent="0.3">
      <c r="A246" s="19">
        <v>41632</v>
      </c>
      <c r="B246" s="20">
        <v>264.5249</v>
      </c>
      <c r="C246" s="19">
        <v>41641</v>
      </c>
      <c r="D246" s="20">
        <v>24.4147</v>
      </c>
      <c r="F246" s="43"/>
    </row>
    <row r="247" spans="1:6" x14ac:dyDescent="0.3">
      <c r="A247" s="19">
        <v>41634</v>
      </c>
      <c r="B247" s="20">
        <v>265.99360000000001</v>
      </c>
      <c r="C247" s="19">
        <v>41642</v>
      </c>
      <c r="D247" s="20">
        <v>24.429200000000002</v>
      </c>
      <c r="F247" s="43"/>
    </row>
    <row r="248" spans="1:6" x14ac:dyDescent="0.3">
      <c r="A248" s="19">
        <v>41635</v>
      </c>
      <c r="B248" s="20">
        <v>266.67270000000002</v>
      </c>
      <c r="C248" s="19">
        <v>41645</v>
      </c>
      <c r="D248" s="20">
        <v>24.512599999999999</v>
      </c>
      <c r="F248" s="43"/>
    </row>
    <row r="249" spans="1:6" x14ac:dyDescent="0.3">
      <c r="A249" s="19">
        <v>41638</v>
      </c>
      <c r="B249" s="20">
        <v>265.54640000000001</v>
      </c>
      <c r="C249" s="19">
        <v>41646</v>
      </c>
      <c r="D249" s="20">
        <v>24.505600000000001</v>
      </c>
      <c r="F249" s="43"/>
    </row>
    <row r="250" spans="1:6" x14ac:dyDescent="0.3">
      <c r="A250" s="19">
        <v>41639</v>
      </c>
      <c r="B250" s="20">
        <v>266.34190000000001</v>
      </c>
      <c r="C250" s="19">
        <v>41647</v>
      </c>
      <c r="D250" s="20">
        <v>24.485600000000002</v>
      </c>
      <c r="F250" s="43"/>
    </row>
    <row r="251" spans="1:6" x14ac:dyDescent="0.3">
      <c r="A251" s="19">
        <v>41640</v>
      </c>
      <c r="B251" s="20">
        <v>266.75409999999999</v>
      </c>
      <c r="C251" s="19">
        <v>41648</v>
      </c>
      <c r="D251" s="20">
        <v>24.540199999999999</v>
      </c>
      <c r="F251" s="43"/>
    </row>
    <row r="252" spans="1:6" x14ac:dyDescent="0.3">
      <c r="A252" s="19">
        <v>41641</v>
      </c>
      <c r="B252" s="20">
        <v>262.40519999999998</v>
      </c>
      <c r="C252" s="19">
        <v>41649</v>
      </c>
      <c r="D252" s="20">
        <v>24.585999999999999</v>
      </c>
      <c r="F252" s="43"/>
    </row>
    <row r="253" spans="1:6" x14ac:dyDescent="0.3">
      <c r="A253" s="19">
        <v>41642</v>
      </c>
      <c r="B253" s="20">
        <v>262.387</v>
      </c>
      <c r="C253" s="19">
        <v>41652</v>
      </c>
      <c r="D253" s="20">
        <v>24.668800000000001</v>
      </c>
      <c r="F253" s="43"/>
    </row>
    <row r="254" spans="1:6" x14ac:dyDescent="0.3">
      <c r="A254" s="19">
        <v>41645</v>
      </c>
      <c r="B254" s="20">
        <v>261.9957</v>
      </c>
      <c r="C254" s="19">
        <v>41655</v>
      </c>
      <c r="D254" s="20">
        <v>24.8276</v>
      </c>
      <c r="F254" s="43"/>
    </row>
    <row r="255" spans="1:6" x14ac:dyDescent="0.3">
      <c r="A255" s="19">
        <v>41646</v>
      </c>
      <c r="B255" s="20">
        <v>260.93889999999999</v>
      </c>
      <c r="C255" s="19">
        <v>41656</v>
      </c>
      <c r="D255" s="20">
        <v>24.834099999999999</v>
      </c>
      <c r="F255" s="43"/>
    </row>
    <row r="256" spans="1:6" x14ac:dyDescent="0.3">
      <c r="A256" s="19">
        <v>41647</v>
      </c>
      <c r="B256" s="20">
        <v>262.03530000000001</v>
      </c>
      <c r="C256" s="19">
        <v>41659</v>
      </c>
      <c r="D256" s="20">
        <v>25.014700000000001</v>
      </c>
      <c r="F256" s="43"/>
    </row>
    <row r="257" spans="1:6" x14ac:dyDescent="0.3">
      <c r="A257" s="19">
        <v>41648</v>
      </c>
      <c r="B257" s="20">
        <v>262.23419999999999</v>
      </c>
      <c r="C257" s="19">
        <v>41660</v>
      </c>
      <c r="D257" s="20">
        <v>24.960799999999999</v>
      </c>
      <c r="F257" s="43"/>
    </row>
    <row r="258" spans="1:6" x14ac:dyDescent="0.3">
      <c r="A258" s="19">
        <v>41649</v>
      </c>
      <c r="B258" s="20">
        <v>261.45139999999998</v>
      </c>
      <c r="C258" s="19">
        <v>41661</v>
      </c>
      <c r="D258" s="20">
        <v>24.886900000000001</v>
      </c>
      <c r="F258" s="43"/>
    </row>
    <row r="259" spans="1:6" x14ac:dyDescent="0.3">
      <c r="A259" s="19">
        <v>41652</v>
      </c>
      <c r="B259" s="20">
        <v>264.45710000000003</v>
      </c>
      <c r="C259" s="19">
        <v>41662</v>
      </c>
      <c r="D259" s="20">
        <v>24.8307</v>
      </c>
      <c r="F259" s="43"/>
    </row>
    <row r="260" spans="1:6" x14ac:dyDescent="0.3">
      <c r="A260" s="19">
        <v>41653</v>
      </c>
      <c r="B260" s="20">
        <v>263.72719999999998</v>
      </c>
      <c r="C260" s="19">
        <v>41663</v>
      </c>
      <c r="D260" s="20">
        <v>24.7133</v>
      </c>
      <c r="F260" s="43"/>
    </row>
    <row r="261" spans="1:6" x14ac:dyDescent="0.3">
      <c r="A261" s="19">
        <v>41654</v>
      </c>
      <c r="B261" s="20">
        <v>265.50150000000002</v>
      </c>
      <c r="C261" s="19">
        <v>41666</v>
      </c>
      <c r="D261" s="20">
        <v>24.674700000000001</v>
      </c>
      <c r="F261" s="43"/>
    </row>
    <row r="262" spans="1:6" x14ac:dyDescent="0.3">
      <c r="A262" s="19">
        <v>41655</v>
      </c>
      <c r="B262" s="20">
        <v>264.88330000000002</v>
      </c>
      <c r="C262" s="19">
        <v>41667</v>
      </c>
      <c r="D262" s="20">
        <v>24.677900000000001</v>
      </c>
      <c r="F262" s="43"/>
    </row>
    <row r="263" spans="1:6" x14ac:dyDescent="0.3">
      <c r="A263" s="19">
        <v>41656</v>
      </c>
      <c r="B263" s="20">
        <v>262.779</v>
      </c>
      <c r="C263" s="19">
        <v>41668</v>
      </c>
      <c r="D263" s="20">
        <v>24.6495</v>
      </c>
      <c r="F263" s="43"/>
    </row>
    <row r="264" spans="1:6" x14ac:dyDescent="0.3">
      <c r="A264" s="19">
        <v>41659</v>
      </c>
      <c r="B264" s="20">
        <v>263.44069999999999</v>
      </c>
      <c r="C264" s="19">
        <v>41669</v>
      </c>
      <c r="D264" s="20">
        <v>24.595300000000002</v>
      </c>
      <c r="F264" s="43"/>
    </row>
    <row r="265" spans="1:6" x14ac:dyDescent="0.3">
      <c r="A265" s="19">
        <v>41660</v>
      </c>
      <c r="B265" s="20">
        <v>264.25420000000003</v>
      </c>
      <c r="C265" s="19">
        <v>41670</v>
      </c>
      <c r="D265" s="20">
        <v>24.671600000000002</v>
      </c>
      <c r="F265" s="43"/>
    </row>
    <row r="266" spans="1:6" x14ac:dyDescent="0.3">
      <c r="A266" s="19">
        <v>41661</v>
      </c>
      <c r="B266" s="20">
        <v>265.38290000000001</v>
      </c>
      <c r="C266" s="19">
        <v>41673</v>
      </c>
      <c r="D266" s="20">
        <v>24.717300000000002</v>
      </c>
      <c r="F266" s="43"/>
    </row>
    <row r="267" spans="1:6" x14ac:dyDescent="0.3">
      <c r="A267" s="19">
        <v>41662</v>
      </c>
      <c r="B267" s="20">
        <v>266.2534</v>
      </c>
      <c r="C267" s="19">
        <v>41674</v>
      </c>
      <c r="D267" s="20">
        <v>24.785299999999999</v>
      </c>
      <c r="F267" s="43"/>
    </row>
    <row r="268" spans="1:6" x14ac:dyDescent="0.3">
      <c r="A268" s="19">
        <v>41663</v>
      </c>
      <c r="B268" s="20">
        <v>263.64819999999997</v>
      </c>
      <c r="C268" s="19">
        <v>41675</v>
      </c>
      <c r="D268" s="20">
        <v>24.7684</v>
      </c>
      <c r="F268" s="43"/>
    </row>
    <row r="269" spans="1:6" x14ac:dyDescent="0.3">
      <c r="A269" s="19">
        <v>41666</v>
      </c>
      <c r="B269" s="20">
        <v>258.76459999999997</v>
      </c>
      <c r="C269" s="19">
        <v>41676</v>
      </c>
      <c r="D269" s="20">
        <v>24.7624</v>
      </c>
      <c r="F269" s="43"/>
    </row>
    <row r="270" spans="1:6" x14ac:dyDescent="0.3">
      <c r="A270" s="19">
        <v>41667</v>
      </c>
      <c r="B270" s="20">
        <v>258.35160000000002</v>
      </c>
      <c r="C270" s="19">
        <v>41677</v>
      </c>
      <c r="D270" s="20">
        <v>24.758800000000001</v>
      </c>
      <c r="F270" s="43"/>
    </row>
    <row r="271" spans="1:6" x14ac:dyDescent="0.3">
      <c r="A271" s="19">
        <v>41668</v>
      </c>
      <c r="B271" s="20">
        <v>257.59589999999997</v>
      </c>
      <c r="C271" s="19">
        <v>41680</v>
      </c>
      <c r="D271" s="20">
        <v>24.7913</v>
      </c>
      <c r="F271" s="43"/>
    </row>
    <row r="272" spans="1:6" x14ac:dyDescent="0.3">
      <c r="A272" s="19">
        <v>41669</v>
      </c>
      <c r="B272" s="20">
        <v>255.64060000000001</v>
      </c>
      <c r="C272" s="19">
        <v>41681</v>
      </c>
      <c r="D272" s="20">
        <v>24.7212</v>
      </c>
      <c r="F272" s="43"/>
    </row>
    <row r="273" spans="1:6" x14ac:dyDescent="0.3">
      <c r="A273" s="19">
        <v>41670</v>
      </c>
      <c r="B273" s="20">
        <v>257.75369999999998</v>
      </c>
      <c r="C273" s="19">
        <v>41682</v>
      </c>
      <c r="D273" s="20">
        <v>24.6328</v>
      </c>
      <c r="F273" s="43"/>
    </row>
    <row r="274" spans="1:6" x14ac:dyDescent="0.3">
      <c r="A274" s="19">
        <v>41673</v>
      </c>
      <c r="B274" s="20">
        <v>255.44329999999999</v>
      </c>
      <c r="C274" s="19">
        <v>41683</v>
      </c>
      <c r="D274" s="20">
        <v>24.579899999999999</v>
      </c>
      <c r="F274" s="43"/>
    </row>
    <row r="275" spans="1:6" x14ac:dyDescent="0.3">
      <c r="A275" s="19">
        <v>41674</v>
      </c>
      <c r="B275" s="20">
        <v>255.9785</v>
      </c>
      <c r="C275" s="19">
        <v>41684</v>
      </c>
      <c r="D275" s="20">
        <v>24.642099999999999</v>
      </c>
      <c r="F275" s="43"/>
    </row>
    <row r="276" spans="1:6" x14ac:dyDescent="0.3">
      <c r="A276" s="19">
        <v>41675</v>
      </c>
      <c r="B276" s="20">
        <v>257.12349999999998</v>
      </c>
      <c r="C276" s="19">
        <v>41687</v>
      </c>
      <c r="D276" s="20">
        <v>24.6554</v>
      </c>
      <c r="F276" s="43"/>
    </row>
    <row r="277" spans="1:6" x14ac:dyDescent="0.3">
      <c r="A277" s="19">
        <v>41676</v>
      </c>
      <c r="B277" s="20">
        <v>256.24599999999998</v>
      </c>
      <c r="C277" s="19">
        <v>41688</v>
      </c>
      <c r="D277" s="20">
        <v>24.695</v>
      </c>
      <c r="F277" s="43"/>
    </row>
    <row r="278" spans="1:6" x14ac:dyDescent="0.3">
      <c r="A278" s="19">
        <v>41677</v>
      </c>
      <c r="B278" s="20">
        <v>257.63029999999998</v>
      </c>
      <c r="C278" s="19">
        <v>41690</v>
      </c>
      <c r="D278" s="20">
        <v>24.6843</v>
      </c>
      <c r="F278" s="43"/>
    </row>
    <row r="279" spans="1:6" x14ac:dyDescent="0.3">
      <c r="A279" s="19">
        <v>41680</v>
      </c>
      <c r="B279" s="20">
        <v>257.42910000000001</v>
      </c>
      <c r="C279" s="19">
        <v>41691</v>
      </c>
      <c r="D279" s="20">
        <v>24.683599999999998</v>
      </c>
      <c r="F279" s="43"/>
    </row>
    <row r="280" spans="1:6" x14ac:dyDescent="0.3">
      <c r="A280" s="19">
        <v>41681</v>
      </c>
      <c r="B280" s="20">
        <v>257.96890000000002</v>
      </c>
      <c r="C280" s="19">
        <v>41694</v>
      </c>
      <c r="D280" s="20">
        <v>24.590599999999998</v>
      </c>
      <c r="F280" s="43"/>
    </row>
    <row r="281" spans="1:6" x14ac:dyDescent="0.3">
      <c r="A281" s="19">
        <v>41682</v>
      </c>
      <c r="B281" s="20">
        <v>259.29070000000002</v>
      </c>
      <c r="C281" s="19">
        <v>41695</v>
      </c>
      <c r="D281" s="20">
        <v>24.604299999999999</v>
      </c>
      <c r="F281" s="43"/>
    </row>
    <row r="282" spans="1:6" x14ac:dyDescent="0.3">
      <c r="A282" s="19">
        <v>41683</v>
      </c>
      <c r="B282" s="20">
        <v>256.32139999999998</v>
      </c>
      <c r="C282" s="19">
        <v>41696</v>
      </c>
      <c r="D282" s="20">
        <v>24.572900000000001</v>
      </c>
      <c r="F282" s="43"/>
    </row>
    <row r="283" spans="1:6" x14ac:dyDescent="0.3">
      <c r="A283" s="19">
        <v>41684</v>
      </c>
      <c r="B283" s="20">
        <v>257.98849999999999</v>
      </c>
      <c r="C283" s="19">
        <v>41698</v>
      </c>
      <c r="D283" s="20">
        <v>24.674600000000002</v>
      </c>
      <c r="F283" s="43"/>
    </row>
    <row r="284" spans="1:6" x14ac:dyDescent="0.3">
      <c r="A284" s="19">
        <v>41687</v>
      </c>
      <c r="B284" s="20">
        <v>258.67180000000002</v>
      </c>
      <c r="C284" s="19">
        <v>41701</v>
      </c>
      <c r="D284" s="20">
        <v>24.639199999999999</v>
      </c>
      <c r="F284" s="43"/>
    </row>
    <row r="285" spans="1:6" x14ac:dyDescent="0.3">
      <c r="A285" s="19">
        <v>41688</v>
      </c>
      <c r="B285" s="20">
        <v>260.68279999999999</v>
      </c>
      <c r="C285" s="19">
        <v>41702</v>
      </c>
      <c r="D285" s="20">
        <v>24.699100000000001</v>
      </c>
      <c r="F285" s="43"/>
    </row>
    <row r="286" spans="1:6" x14ac:dyDescent="0.3">
      <c r="A286" s="19">
        <v>41689</v>
      </c>
      <c r="B286" s="20">
        <v>262.07679999999999</v>
      </c>
      <c r="C286" s="19">
        <v>41703</v>
      </c>
      <c r="D286" s="20">
        <v>24.699300000000001</v>
      </c>
      <c r="F286" s="43"/>
    </row>
    <row r="287" spans="1:6" x14ac:dyDescent="0.3">
      <c r="A287" s="19">
        <v>41690</v>
      </c>
      <c r="B287" s="20">
        <v>260.09399999999999</v>
      </c>
      <c r="C287" s="19">
        <v>41704</v>
      </c>
      <c r="D287" s="20">
        <v>24.750399999999999</v>
      </c>
      <c r="F287" s="43"/>
    </row>
    <row r="288" spans="1:6" x14ac:dyDescent="0.3">
      <c r="A288" s="19">
        <v>41691</v>
      </c>
      <c r="B288" s="20">
        <v>262.48680000000002</v>
      </c>
      <c r="C288" s="19">
        <v>41705</v>
      </c>
      <c r="D288" s="20">
        <v>24.736000000000001</v>
      </c>
      <c r="F288" s="43"/>
    </row>
    <row r="289" spans="1:6" x14ac:dyDescent="0.3">
      <c r="A289" s="19">
        <v>41694</v>
      </c>
      <c r="B289" s="20">
        <v>264.33550000000002</v>
      </c>
      <c r="C289" s="19">
        <v>41708</v>
      </c>
      <c r="D289" s="20">
        <v>24.802700000000002</v>
      </c>
      <c r="F289" s="43"/>
    </row>
    <row r="290" spans="1:6" x14ac:dyDescent="0.3">
      <c r="A290" s="19">
        <v>41695</v>
      </c>
      <c r="B290" s="20">
        <v>265.49380000000002</v>
      </c>
      <c r="C290" s="19">
        <v>41709</v>
      </c>
      <c r="D290" s="20">
        <v>24.826799999999999</v>
      </c>
      <c r="F290" s="43"/>
    </row>
    <row r="291" spans="1:6" x14ac:dyDescent="0.3">
      <c r="A291" s="19">
        <v>41696</v>
      </c>
      <c r="B291" s="20">
        <v>266.38630000000001</v>
      </c>
      <c r="C291" s="19">
        <v>41710</v>
      </c>
      <c r="D291" s="20">
        <v>24.875399999999999</v>
      </c>
      <c r="F291" s="43"/>
    </row>
    <row r="292" spans="1:6" x14ac:dyDescent="0.3">
      <c r="A292" s="19">
        <v>41698</v>
      </c>
      <c r="B292" s="20">
        <v>267.03579999999999</v>
      </c>
      <c r="C292" s="19">
        <v>41711</v>
      </c>
      <c r="D292" s="20">
        <v>24.872</v>
      </c>
      <c r="F292" s="43"/>
    </row>
    <row r="293" spans="1:6" x14ac:dyDescent="0.3">
      <c r="A293" s="19">
        <v>41701</v>
      </c>
      <c r="B293" s="20">
        <v>265.70299999999997</v>
      </c>
      <c r="C293" s="19">
        <v>41712</v>
      </c>
      <c r="D293" s="20">
        <v>24.845800000000001</v>
      </c>
      <c r="F293" s="43"/>
    </row>
    <row r="294" spans="1:6" x14ac:dyDescent="0.3">
      <c r="A294" s="19">
        <v>41702</v>
      </c>
      <c r="B294" s="20">
        <v>268.27769999999998</v>
      </c>
      <c r="C294" s="19">
        <v>41716</v>
      </c>
      <c r="D294" s="20">
        <v>24.874099999999999</v>
      </c>
      <c r="F294" s="43"/>
    </row>
    <row r="295" spans="1:6" x14ac:dyDescent="0.3">
      <c r="A295" s="19">
        <v>41703</v>
      </c>
      <c r="B295" s="20">
        <v>269.13959999999997</v>
      </c>
      <c r="C295" s="19">
        <v>41717</v>
      </c>
      <c r="D295" s="20">
        <v>24.905100000000001</v>
      </c>
      <c r="F295" s="43"/>
    </row>
    <row r="296" spans="1:6" x14ac:dyDescent="0.3">
      <c r="A296" s="19">
        <v>41704</v>
      </c>
      <c r="B296" s="20">
        <v>272.10520000000002</v>
      </c>
      <c r="C296" s="19">
        <v>41718</v>
      </c>
      <c r="D296" s="20">
        <v>24.912400000000002</v>
      </c>
      <c r="F296" s="43"/>
    </row>
    <row r="297" spans="1:6" x14ac:dyDescent="0.3">
      <c r="A297" s="19">
        <v>41705</v>
      </c>
      <c r="B297" s="20">
        <v>276.07499999999999</v>
      </c>
      <c r="C297" s="19">
        <v>41719</v>
      </c>
      <c r="D297" s="20">
        <v>24.906099999999999</v>
      </c>
      <c r="F297" s="43"/>
    </row>
    <row r="298" spans="1:6" x14ac:dyDescent="0.3">
      <c r="A298" s="19">
        <v>41708</v>
      </c>
      <c r="B298" s="20">
        <v>277.93299999999999</v>
      </c>
      <c r="C298" s="19">
        <v>41722</v>
      </c>
      <c r="D298" s="20">
        <v>24.961200000000002</v>
      </c>
      <c r="F298" s="43"/>
    </row>
    <row r="299" spans="1:6" x14ac:dyDescent="0.3">
      <c r="A299" s="19">
        <v>41709</v>
      </c>
      <c r="B299" s="20">
        <v>277.33600000000001</v>
      </c>
      <c r="C299" s="19">
        <v>41723</v>
      </c>
      <c r="D299" s="20">
        <v>24.998699999999999</v>
      </c>
      <c r="F299" s="43"/>
    </row>
    <row r="300" spans="1:6" x14ac:dyDescent="0.3">
      <c r="A300" s="19">
        <v>41710</v>
      </c>
      <c r="B300" s="20">
        <v>277.15609999999998</v>
      </c>
      <c r="C300" s="19">
        <v>41724</v>
      </c>
      <c r="D300" s="20">
        <v>25.000499999999999</v>
      </c>
      <c r="F300" s="43"/>
    </row>
    <row r="301" spans="1:6" x14ac:dyDescent="0.3">
      <c r="A301" s="19">
        <v>41711</v>
      </c>
      <c r="B301" s="20">
        <v>276.6046</v>
      </c>
      <c r="C301" s="19">
        <v>41725</v>
      </c>
      <c r="D301" s="20">
        <v>25.0106</v>
      </c>
      <c r="F301" s="43"/>
    </row>
    <row r="302" spans="1:6" x14ac:dyDescent="0.3">
      <c r="A302" s="19">
        <v>41712</v>
      </c>
      <c r="B302" s="20">
        <v>276.37169999999998</v>
      </c>
      <c r="C302" s="19">
        <v>41726</v>
      </c>
      <c r="D302" s="20">
        <v>25.009699999999999</v>
      </c>
      <c r="F302" s="43"/>
    </row>
    <row r="303" spans="1:6" x14ac:dyDescent="0.3">
      <c r="A303" s="19">
        <v>41716</v>
      </c>
      <c r="B303" s="20">
        <v>278.14800000000002</v>
      </c>
      <c r="C303" s="19">
        <v>41731</v>
      </c>
      <c r="D303" s="20">
        <v>24.974799999999998</v>
      </c>
      <c r="F303" s="43"/>
    </row>
    <row r="304" spans="1:6" x14ac:dyDescent="0.3">
      <c r="A304" s="19">
        <v>41717</v>
      </c>
      <c r="B304" s="20">
        <v>279.19810000000001</v>
      </c>
      <c r="C304" s="19">
        <v>41732</v>
      </c>
      <c r="D304" s="20">
        <v>24.956299999999999</v>
      </c>
      <c r="F304" s="43"/>
    </row>
    <row r="305" spans="1:6" x14ac:dyDescent="0.3">
      <c r="A305" s="19">
        <v>41718</v>
      </c>
      <c r="B305" s="20">
        <v>277.80650000000003</v>
      </c>
      <c r="C305" s="19">
        <v>41733</v>
      </c>
      <c r="D305" s="20">
        <v>24.965299999999999</v>
      </c>
      <c r="F305" s="43"/>
    </row>
    <row r="306" spans="1:6" x14ac:dyDescent="0.3">
      <c r="A306" s="19">
        <v>41719</v>
      </c>
      <c r="B306" s="20">
        <v>278.1773</v>
      </c>
      <c r="C306" s="19">
        <v>41736</v>
      </c>
      <c r="D306" s="20">
        <v>24.981200000000001</v>
      </c>
      <c r="F306" s="43"/>
    </row>
    <row r="307" spans="1:6" x14ac:dyDescent="0.3">
      <c r="A307" s="19">
        <v>41722</v>
      </c>
      <c r="B307" s="20">
        <v>281.01519999999999</v>
      </c>
      <c r="C307" s="19">
        <v>41738</v>
      </c>
      <c r="D307" s="20">
        <v>25.028199999999998</v>
      </c>
      <c r="F307" s="43"/>
    </row>
    <row r="308" spans="1:6" x14ac:dyDescent="0.3">
      <c r="A308" s="19">
        <v>41723</v>
      </c>
      <c r="B308" s="20">
        <v>281.7946</v>
      </c>
      <c r="C308" s="19">
        <v>41739</v>
      </c>
      <c r="D308" s="20">
        <v>25.043099999999999</v>
      </c>
      <c r="F308" s="43"/>
    </row>
    <row r="309" spans="1:6" x14ac:dyDescent="0.3">
      <c r="A309" s="19">
        <v>41724</v>
      </c>
      <c r="B309" s="20">
        <v>282.67869999999999</v>
      </c>
      <c r="C309" s="19">
        <v>41740</v>
      </c>
      <c r="D309" s="20">
        <v>25.041</v>
      </c>
      <c r="F309" s="43"/>
    </row>
    <row r="310" spans="1:6" x14ac:dyDescent="0.3">
      <c r="A310" s="19">
        <v>41725</v>
      </c>
      <c r="B310" s="20">
        <v>284.68549999999999</v>
      </c>
      <c r="C310" s="19">
        <v>41744</v>
      </c>
      <c r="D310" s="20">
        <v>25.043299999999999</v>
      </c>
      <c r="F310" s="43"/>
    </row>
    <row r="311" spans="1:6" x14ac:dyDescent="0.3">
      <c r="A311" s="19">
        <v>41726</v>
      </c>
      <c r="B311" s="20">
        <v>287.49259999999998</v>
      </c>
      <c r="C311" s="19">
        <v>41745</v>
      </c>
      <c r="D311" s="20">
        <v>25.041499999999999</v>
      </c>
      <c r="F311" s="43"/>
    </row>
    <row r="312" spans="1:6" x14ac:dyDescent="0.3">
      <c r="A312" s="19">
        <v>41729</v>
      </c>
      <c r="B312" s="20">
        <v>288.68799999999999</v>
      </c>
      <c r="C312" s="19">
        <v>41746</v>
      </c>
      <c r="D312" s="20">
        <v>25.143799999999999</v>
      </c>
      <c r="F312" s="43"/>
    </row>
    <row r="313" spans="1:6" x14ac:dyDescent="0.3">
      <c r="A313" s="19">
        <v>41730</v>
      </c>
      <c r="B313" s="20">
        <v>288.54050000000001</v>
      </c>
      <c r="C313" s="19">
        <v>41750</v>
      </c>
      <c r="D313" s="20">
        <v>25.171099999999999</v>
      </c>
      <c r="F313" s="43"/>
    </row>
    <row r="314" spans="1:6" x14ac:dyDescent="0.3">
      <c r="A314" s="19">
        <v>41731</v>
      </c>
      <c r="B314" s="20">
        <v>291.56540000000001</v>
      </c>
      <c r="C314" s="19">
        <v>41751</v>
      </c>
      <c r="D314" s="20">
        <v>25.1907</v>
      </c>
      <c r="F314" s="43"/>
    </row>
    <row r="315" spans="1:6" x14ac:dyDescent="0.3">
      <c r="A315" s="19">
        <v>41732</v>
      </c>
      <c r="B315" s="20">
        <v>290.37259999999998</v>
      </c>
      <c r="C315" s="19">
        <v>41752</v>
      </c>
      <c r="D315" s="20">
        <v>25.204499999999999</v>
      </c>
      <c r="F315" s="43"/>
    </row>
    <row r="316" spans="1:6" x14ac:dyDescent="0.3">
      <c r="A316" s="19">
        <v>41733</v>
      </c>
      <c r="B316" s="20">
        <v>288.91300000000001</v>
      </c>
      <c r="C316" s="19">
        <v>41754</v>
      </c>
      <c r="D316" s="20">
        <v>25.184000000000001</v>
      </c>
      <c r="F316" s="43"/>
    </row>
    <row r="317" spans="1:6" x14ac:dyDescent="0.3">
      <c r="A317" s="19">
        <v>41736</v>
      </c>
      <c r="B317" s="20">
        <v>288.06310000000002</v>
      </c>
      <c r="C317" s="19">
        <v>41757</v>
      </c>
      <c r="D317" s="20">
        <v>25.2166</v>
      </c>
      <c r="F317" s="43"/>
    </row>
    <row r="318" spans="1:6" x14ac:dyDescent="0.3">
      <c r="A318" s="19">
        <v>41738</v>
      </c>
      <c r="B318" s="20">
        <v>291.29289999999997</v>
      </c>
      <c r="C318" s="19">
        <v>41758</v>
      </c>
      <c r="D318" s="20">
        <v>25.2654</v>
      </c>
      <c r="F318" s="43"/>
    </row>
    <row r="319" spans="1:6" x14ac:dyDescent="0.3">
      <c r="A319" s="19">
        <v>41739</v>
      </c>
      <c r="B319" s="20">
        <v>291.29329999999999</v>
      </c>
      <c r="C319" s="19">
        <v>41759</v>
      </c>
      <c r="D319" s="20">
        <v>25.275500000000001</v>
      </c>
      <c r="F319" s="43"/>
    </row>
    <row r="320" spans="1:6" x14ac:dyDescent="0.3">
      <c r="A320" s="19">
        <v>41740</v>
      </c>
      <c r="B320" s="20">
        <v>290.48349999999999</v>
      </c>
      <c r="C320" s="19">
        <v>41761</v>
      </c>
      <c r="D320" s="20">
        <v>25.296500000000002</v>
      </c>
      <c r="F320" s="43"/>
    </row>
    <row r="321" spans="1:6" x14ac:dyDescent="0.3">
      <c r="A321" s="19">
        <v>41744</v>
      </c>
      <c r="B321" s="20">
        <v>289.09440000000001</v>
      </c>
      <c r="C321" s="19">
        <v>41764</v>
      </c>
      <c r="D321" s="20">
        <v>25.369</v>
      </c>
      <c r="F321" s="43"/>
    </row>
    <row r="322" spans="1:6" x14ac:dyDescent="0.3">
      <c r="A322" s="19">
        <v>41745</v>
      </c>
      <c r="B322" s="20">
        <v>286.85579999999999</v>
      </c>
      <c r="C322" s="19">
        <v>41765</v>
      </c>
      <c r="D322" s="20">
        <v>25.321400000000001</v>
      </c>
      <c r="F322" s="43"/>
    </row>
    <row r="323" spans="1:6" x14ac:dyDescent="0.3">
      <c r="A323" s="19">
        <v>41746</v>
      </c>
      <c r="B323" s="20">
        <v>289.38099999999997</v>
      </c>
      <c r="C323" s="19">
        <v>41766</v>
      </c>
      <c r="D323" s="20">
        <v>25.304099999999998</v>
      </c>
      <c r="F323" s="43"/>
    </row>
    <row r="324" spans="1:6" x14ac:dyDescent="0.3">
      <c r="A324" s="19">
        <v>41750</v>
      </c>
      <c r="B324" s="20">
        <v>291.47969999999998</v>
      </c>
      <c r="C324" s="19">
        <v>41767</v>
      </c>
      <c r="D324" s="20">
        <v>25.346399999999999</v>
      </c>
      <c r="F324" s="43"/>
    </row>
    <row r="325" spans="1:6" x14ac:dyDescent="0.3">
      <c r="A325" s="19">
        <v>41751</v>
      </c>
      <c r="B325" s="20">
        <v>291.59980000000002</v>
      </c>
      <c r="C325" s="19">
        <v>41768</v>
      </c>
      <c r="D325" s="20">
        <v>25.376000000000001</v>
      </c>
      <c r="F325" s="43"/>
    </row>
    <row r="326" spans="1:6" x14ac:dyDescent="0.3">
      <c r="A326" s="19">
        <v>41752</v>
      </c>
      <c r="B326" s="20">
        <v>293.3734</v>
      </c>
      <c r="C326" s="19">
        <v>41771</v>
      </c>
      <c r="D326" s="20">
        <v>25.4221</v>
      </c>
      <c r="F326" s="43"/>
    </row>
    <row r="327" spans="1:6" x14ac:dyDescent="0.3">
      <c r="A327" s="19">
        <v>41754</v>
      </c>
      <c r="B327" s="20">
        <v>292.47680000000003</v>
      </c>
      <c r="C327" s="19">
        <v>41772</v>
      </c>
      <c r="D327" s="20">
        <v>25.383199999999999</v>
      </c>
      <c r="F327" s="43"/>
    </row>
    <row r="328" spans="1:6" x14ac:dyDescent="0.3">
      <c r="A328" s="19">
        <v>41757</v>
      </c>
      <c r="B328" s="20">
        <v>291.77679999999998</v>
      </c>
      <c r="C328" s="19">
        <v>41774</v>
      </c>
      <c r="D328" s="20">
        <v>25.399799999999999</v>
      </c>
      <c r="F328" s="43"/>
    </row>
    <row r="329" spans="1:6" x14ac:dyDescent="0.3">
      <c r="A329" s="19">
        <v>41758</v>
      </c>
      <c r="B329" s="20">
        <v>290.75400000000002</v>
      </c>
      <c r="C329" s="19">
        <v>41775</v>
      </c>
      <c r="D329" s="20">
        <v>25.354900000000001</v>
      </c>
      <c r="F329" s="43"/>
    </row>
    <row r="330" spans="1:6" x14ac:dyDescent="0.3">
      <c r="A330" s="19">
        <v>41759</v>
      </c>
      <c r="B330" s="20">
        <v>288.83819999999997</v>
      </c>
      <c r="C330" s="19">
        <v>41778</v>
      </c>
      <c r="D330" s="20">
        <v>25.363399999999999</v>
      </c>
      <c r="F330" s="43"/>
    </row>
    <row r="331" spans="1:6" x14ac:dyDescent="0.3">
      <c r="A331" s="19">
        <v>41761</v>
      </c>
      <c r="B331" s="20">
        <v>289.80180000000001</v>
      </c>
      <c r="C331" s="19">
        <v>41779</v>
      </c>
      <c r="D331" s="20">
        <v>25.390699999999999</v>
      </c>
      <c r="F331" s="43"/>
    </row>
    <row r="332" spans="1:6" x14ac:dyDescent="0.3">
      <c r="A332" s="19">
        <v>41764</v>
      </c>
      <c r="B332" s="20">
        <v>290.03570000000002</v>
      </c>
      <c r="C332" s="19">
        <v>41780</v>
      </c>
      <c r="D332" s="20">
        <v>25.4985</v>
      </c>
      <c r="F332" s="43"/>
    </row>
    <row r="333" spans="1:6" x14ac:dyDescent="0.3">
      <c r="A333" s="19">
        <v>41765</v>
      </c>
      <c r="B333" s="20">
        <v>291.15530000000001</v>
      </c>
      <c r="C333" s="19">
        <v>41781</v>
      </c>
      <c r="D333" s="20">
        <v>25.585699999999999</v>
      </c>
      <c r="F333" s="43"/>
    </row>
    <row r="334" spans="1:6" x14ac:dyDescent="0.3">
      <c r="A334" s="19">
        <v>41766</v>
      </c>
      <c r="B334" s="20">
        <v>289.52949999999998</v>
      </c>
      <c r="C334" s="19">
        <v>41782</v>
      </c>
      <c r="D334" s="20">
        <v>25.705500000000001</v>
      </c>
      <c r="F334" s="43"/>
    </row>
    <row r="335" spans="1:6" x14ac:dyDescent="0.3">
      <c r="A335" s="19">
        <v>41767</v>
      </c>
      <c r="B335" s="20">
        <v>290.1071</v>
      </c>
      <c r="C335" s="19">
        <v>41785</v>
      </c>
      <c r="D335" s="20">
        <v>25.671900000000001</v>
      </c>
      <c r="F335" s="43"/>
    </row>
    <row r="336" spans="1:6" x14ac:dyDescent="0.3">
      <c r="A336" s="19">
        <v>41768</v>
      </c>
      <c r="B336" s="20">
        <v>295.9896</v>
      </c>
      <c r="C336" s="19">
        <v>41786</v>
      </c>
      <c r="D336" s="20">
        <v>25.690899999999999</v>
      </c>
      <c r="F336" s="43"/>
    </row>
    <row r="337" spans="1:6" x14ac:dyDescent="0.3">
      <c r="A337" s="19">
        <v>41771</v>
      </c>
      <c r="B337" s="20">
        <v>300.85050000000001</v>
      </c>
      <c r="C337" s="19">
        <v>41787</v>
      </c>
      <c r="D337" s="20">
        <v>25.666699999999999</v>
      </c>
      <c r="F337" s="43"/>
    </row>
    <row r="338" spans="1:6" x14ac:dyDescent="0.3">
      <c r="A338" s="19">
        <v>41772</v>
      </c>
      <c r="B338" s="20">
        <v>303.7543</v>
      </c>
      <c r="C338" s="19">
        <v>41788</v>
      </c>
      <c r="D338" s="20">
        <v>25.718399999999999</v>
      </c>
      <c r="F338" s="43"/>
    </row>
    <row r="339" spans="1:6" x14ac:dyDescent="0.3">
      <c r="A339" s="19">
        <v>41773</v>
      </c>
      <c r="B339" s="20">
        <v>303.83909999999997</v>
      </c>
      <c r="C339" s="19">
        <v>41789</v>
      </c>
      <c r="D339" s="20">
        <v>25.8062</v>
      </c>
      <c r="F339" s="43"/>
    </row>
    <row r="340" spans="1:6" x14ac:dyDescent="0.3">
      <c r="A340" s="19">
        <v>41774</v>
      </c>
      <c r="B340" s="20">
        <v>302.48259999999999</v>
      </c>
      <c r="C340" s="19">
        <v>41792</v>
      </c>
      <c r="D340" s="20">
        <v>25.795999999999999</v>
      </c>
      <c r="F340" s="43"/>
    </row>
    <row r="341" spans="1:6" x14ac:dyDescent="0.3">
      <c r="A341" s="19">
        <v>41775</v>
      </c>
      <c r="B341" s="20">
        <v>306.54050000000001</v>
      </c>
      <c r="C341" s="19">
        <v>41793</v>
      </c>
      <c r="D341" s="20">
        <v>25.9636</v>
      </c>
      <c r="F341" s="43"/>
    </row>
    <row r="342" spans="1:6" x14ac:dyDescent="0.3">
      <c r="A342" s="19">
        <v>41778</v>
      </c>
      <c r="B342" s="20">
        <v>311.34699999999998</v>
      </c>
      <c r="C342" s="19">
        <v>41794</v>
      </c>
      <c r="D342" s="20">
        <v>26.0151</v>
      </c>
      <c r="F342" s="43"/>
    </row>
    <row r="343" spans="1:6" x14ac:dyDescent="0.3">
      <c r="A343" s="19">
        <v>41779</v>
      </c>
      <c r="B343" s="20">
        <v>313.91860000000003</v>
      </c>
      <c r="C343" s="19">
        <v>41795</v>
      </c>
      <c r="D343" s="20">
        <v>26.149699999999999</v>
      </c>
      <c r="F343" s="43"/>
    </row>
    <row r="344" spans="1:6" x14ac:dyDescent="0.3">
      <c r="A344" s="19">
        <v>41780</v>
      </c>
      <c r="B344" s="20">
        <v>314.58170000000001</v>
      </c>
      <c r="C344" s="19">
        <v>41796</v>
      </c>
      <c r="D344" s="20">
        <v>26.245200000000001</v>
      </c>
      <c r="F344" s="43"/>
    </row>
    <row r="345" spans="1:6" x14ac:dyDescent="0.3">
      <c r="A345" s="19">
        <v>41781</v>
      </c>
      <c r="B345" s="20">
        <v>317.66680000000002</v>
      </c>
      <c r="C345" s="19">
        <v>41799</v>
      </c>
      <c r="D345" s="20">
        <v>26.194199999999999</v>
      </c>
      <c r="F345" s="43"/>
    </row>
    <row r="346" spans="1:6" x14ac:dyDescent="0.3">
      <c r="A346" s="19">
        <v>41782</v>
      </c>
      <c r="B346" s="20">
        <v>320.58819999999997</v>
      </c>
      <c r="C346" s="19">
        <v>41800</v>
      </c>
      <c r="D346" s="20">
        <v>26.179300000000001</v>
      </c>
      <c r="F346" s="43"/>
    </row>
    <row r="347" spans="1:6" x14ac:dyDescent="0.3">
      <c r="A347" s="19">
        <v>41785</v>
      </c>
      <c r="B347" s="20">
        <v>317.99560000000002</v>
      </c>
      <c r="C347" s="19">
        <v>41801</v>
      </c>
      <c r="D347" s="20">
        <v>26.218299999999999</v>
      </c>
      <c r="F347" s="43"/>
    </row>
    <row r="348" spans="1:6" x14ac:dyDescent="0.3">
      <c r="A348" s="19">
        <v>41786</v>
      </c>
      <c r="B348" s="20">
        <v>315.9128</v>
      </c>
      <c r="C348" s="19">
        <v>41802</v>
      </c>
      <c r="D348" s="20">
        <v>26.188700000000001</v>
      </c>
      <c r="F348" s="43"/>
    </row>
    <row r="349" spans="1:6" x14ac:dyDescent="0.3">
      <c r="A349" s="19">
        <v>41787</v>
      </c>
      <c r="B349" s="20">
        <v>318.42610000000002</v>
      </c>
      <c r="C349" s="19">
        <v>41803</v>
      </c>
      <c r="D349" s="20">
        <v>26.139600000000002</v>
      </c>
      <c r="F349" s="43"/>
    </row>
    <row r="350" spans="1:6" x14ac:dyDescent="0.3">
      <c r="A350" s="19">
        <v>41788</v>
      </c>
      <c r="B350" s="20">
        <v>315.77940000000001</v>
      </c>
      <c r="C350" s="19">
        <v>41806</v>
      </c>
      <c r="D350" s="20">
        <v>26.102699999999999</v>
      </c>
      <c r="F350" s="43"/>
    </row>
    <row r="351" spans="1:6" x14ac:dyDescent="0.3">
      <c r="A351" s="19">
        <v>41789</v>
      </c>
      <c r="B351" s="20">
        <v>317.24509999999998</v>
      </c>
      <c r="C351" s="19">
        <v>41807</v>
      </c>
      <c r="D351" s="20">
        <v>26.202100000000002</v>
      </c>
      <c r="F351" s="43"/>
    </row>
    <row r="352" spans="1:6" x14ac:dyDescent="0.3">
      <c r="A352" s="19">
        <v>41792</v>
      </c>
      <c r="B352" s="20">
        <v>322.9683</v>
      </c>
      <c r="C352" s="19">
        <v>41808</v>
      </c>
      <c r="D352" s="20">
        <v>26.114999999999998</v>
      </c>
      <c r="F352" s="43"/>
    </row>
    <row r="353" spans="1:6" x14ac:dyDescent="0.3">
      <c r="A353" s="19">
        <v>41793</v>
      </c>
      <c r="B353" s="20">
        <v>324.16289999999998</v>
      </c>
      <c r="C353" s="19">
        <v>41809</v>
      </c>
      <c r="D353" s="20">
        <v>26.106300000000001</v>
      </c>
      <c r="F353" s="43"/>
    </row>
    <row r="354" spans="1:6" x14ac:dyDescent="0.3">
      <c r="A354" s="19">
        <v>41794</v>
      </c>
      <c r="B354" s="20">
        <v>323.68200000000002</v>
      </c>
      <c r="C354" s="19">
        <v>41810</v>
      </c>
      <c r="D354" s="20">
        <v>26.073599999999999</v>
      </c>
      <c r="F354" s="43"/>
    </row>
    <row r="355" spans="1:6" x14ac:dyDescent="0.3">
      <c r="A355" s="19">
        <v>41795</v>
      </c>
      <c r="B355" s="20">
        <v>324.80419999999998</v>
      </c>
      <c r="C355" s="19">
        <v>41813</v>
      </c>
      <c r="D355" s="20">
        <v>26.012</v>
      </c>
      <c r="F355" s="43"/>
    </row>
    <row r="356" spans="1:6" x14ac:dyDescent="0.3">
      <c r="A356" s="19">
        <v>41796</v>
      </c>
      <c r="B356" s="20">
        <v>329.1977</v>
      </c>
      <c r="C356" s="19">
        <v>41814</v>
      </c>
      <c r="D356" s="20">
        <v>26.102900000000002</v>
      </c>
      <c r="F356" s="43"/>
    </row>
    <row r="357" spans="1:6" x14ac:dyDescent="0.3">
      <c r="A357" s="19">
        <v>41799</v>
      </c>
      <c r="B357" s="20">
        <v>333.09969999999998</v>
      </c>
      <c r="C357" s="19">
        <v>41815</v>
      </c>
      <c r="D357" s="20">
        <v>26.121500000000001</v>
      </c>
      <c r="F357" s="43"/>
    </row>
    <row r="358" spans="1:6" x14ac:dyDescent="0.3">
      <c r="A358" s="19">
        <v>41800</v>
      </c>
      <c r="B358" s="20">
        <v>332.75069999999999</v>
      </c>
      <c r="C358" s="19">
        <v>41816</v>
      </c>
      <c r="D358" s="20">
        <v>26.103400000000001</v>
      </c>
      <c r="F358" s="43"/>
    </row>
    <row r="359" spans="1:6" x14ac:dyDescent="0.3">
      <c r="A359" s="19">
        <v>41801</v>
      </c>
      <c r="B359" s="20">
        <v>331.88220000000001</v>
      </c>
      <c r="C359" s="19">
        <v>41817</v>
      </c>
      <c r="D359" s="20">
        <v>26.077300000000001</v>
      </c>
      <c r="F359" s="43"/>
    </row>
    <row r="360" spans="1:6" x14ac:dyDescent="0.3">
      <c r="A360" s="19">
        <v>41802</v>
      </c>
      <c r="B360" s="20">
        <v>332.95319999999998</v>
      </c>
      <c r="C360" s="19">
        <v>41820</v>
      </c>
      <c r="D360" s="20">
        <v>26.107700000000001</v>
      </c>
      <c r="F360" s="43"/>
    </row>
    <row r="361" spans="1:6" x14ac:dyDescent="0.3">
      <c r="A361" s="19">
        <v>41803</v>
      </c>
      <c r="B361" s="20">
        <v>328.92489999999998</v>
      </c>
      <c r="C361" s="19">
        <v>41821</v>
      </c>
      <c r="D361" s="20">
        <v>26.113800000000001</v>
      </c>
      <c r="F361" s="43"/>
    </row>
    <row r="362" spans="1:6" x14ac:dyDescent="0.3">
      <c r="A362" s="19">
        <v>41806</v>
      </c>
      <c r="B362" s="20">
        <v>329.16370000000001</v>
      </c>
      <c r="C362" s="19">
        <v>41822</v>
      </c>
      <c r="D362" s="20">
        <v>26.231300000000001</v>
      </c>
      <c r="F362" s="43"/>
    </row>
    <row r="363" spans="1:6" x14ac:dyDescent="0.3">
      <c r="A363" s="19">
        <v>41807</v>
      </c>
      <c r="B363" s="20">
        <v>333.64460000000003</v>
      </c>
      <c r="C363" s="19">
        <v>41823</v>
      </c>
      <c r="D363" s="20">
        <v>26.2547</v>
      </c>
      <c r="F363" s="43"/>
    </row>
    <row r="364" spans="1:6" x14ac:dyDescent="0.3">
      <c r="A364" s="19">
        <v>41808</v>
      </c>
      <c r="B364" s="20">
        <v>332.14449999999999</v>
      </c>
      <c r="C364" s="19">
        <v>41824</v>
      </c>
      <c r="D364" s="20">
        <v>26.2761</v>
      </c>
      <c r="F364" s="43"/>
    </row>
    <row r="365" spans="1:6" x14ac:dyDescent="0.3">
      <c r="A365" s="19">
        <v>41809</v>
      </c>
      <c r="B365" s="20">
        <v>331.78590000000003</v>
      </c>
      <c r="C365" s="19">
        <v>41827</v>
      </c>
      <c r="D365" s="20">
        <v>26.255299999999998</v>
      </c>
      <c r="F365" s="43"/>
    </row>
    <row r="366" spans="1:6" x14ac:dyDescent="0.3">
      <c r="A366" s="19">
        <v>41810</v>
      </c>
      <c r="B366" s="20">
        <v>331.58069999999998</v>
      </c>
      <c r="C366" s="19">
        <v>41828</v>
      </c>
      <c r="D366" s="20">
        <v>26.203199999999999</v>
      </c>
      <c r="F366" s="43"/>
    </row>
    <row r="367" spans="1:6" x14ac:dyDescent="0.3">
      <c r="A367" s="19">
        <v>41813</v>
      </c>
      <c r="B367" s="20">
        <v>332.54219999999998</v>
      </c>
      <c r="C367" s="19">
        <v>41829</v>
      </c>
      <c r="D367" s="20">
        <v>26.2118</v>
      </c>
      <c r="F367" s="43"/>
    </row>
    <row r="368" spans="1:6" x14ac:dyDescent="0.3">
      <c r="A368" s="19">
        <v>41814</v>
      </c>
      <c r="B368" s="20">
        <v>335.93310000000002</v>
      </c>
      <c r="C368" s="19">
        <v>41830</v>
      </c>
      <c r="D368" s="20">
        <v>26.1769</v>
      </c>
      <c r="F368" s="43"/>
    </row>
    <row r="369" spans="1:6" x14ac:dyDescent="0.3">
      <c r="A369" s="19">
        <v>41815</v>
      </c>
      <c r="B369" s="20">
        <v>335.80900000000003</v>
      </c>
      <c r="C369" s="19">
        <v>41831</v>
      </c>
      <c r="D369" s="20">
        <v>26.173100000000002</v>
      </c>
      <c r="F369" s="43"/>
    </row>
    <row r="370" spans="1:6" x14ac:dyDescent="0.3">
      <c r="A370" s="19">
        <v>41816</v>
      </c>
      <c r="B370" s="20">
        <v>334.51119999999997</v>
      </c>
      <c r="C370" s="19">
        <v>41834</v>
      </c>
      <c r="D370" s="20">
        <v>26.152200000000001</v>
      </c>
      <c r="F370" s="43"/>
    </row>
    <row r="371" spans="1:6" x14ac:dyDescent="0.3">
      <c r="A371" s="19">
        <v>41817</v>
      </c>
      <c r="B371" s="20">
        <v>335.41969999999998</v>
      </c>
      <c r="C371" s="19">
        <v>41835</v>
      </c>
      <c r="D371" s="20">
        <v>26.242699999999999</v>
      </c>
      <c r="F371" s="43"/>
    </row>
    <row r="372" spans="1:6" x14ac:dyDescent="0.3">
      <c r="A372" s="19">
        <v>41820</v>
      </c>
      <c r="B372" s="20">
        <v>339.6662</v>
      </c>
      <c r="C372" s="19">
        <v>41836</v>
      </c>
      <c r="D372" s="20">
        <v>26.276900000000001</v>
      </c>
      <c r="F372" s="43"/>
    </row>
    <row r="373" spans="1:6" x14ac:dyDescent="0.3">
      <c r="A373" s="19">
        <v>41821</v>
      </c>
      <c r="B373" s="20">
        <v>340.43360000000001</v>
      </c>
      <c r="C373" s="19">
        <v>41837</v>
      </c>
      <c r="D373" s="20">
        <v>26.317399999999999</v>
      </c>
      <c r="F373" s="43"/>
    </row>
    <row r="374" spans="1:6" x14ac:dyDescent="0.3">
      <c r="A374" s="19">
        <v>41822</v>
      </c>
      <c r="B374" s="20">
        <v>343.92430000000002</v>
      </c>
      <c r="C374" s="19">
        <v>41838</v>
      </c>
      <c r="D374" s="20">
        <v>26.2866</v>
      </c>
      <c r="F374" s="43"/>
    </row>
    <row r="375" spans="1:6" x14ac:dyDescent="0.3">
      <c r="A375" s="19">
        <v>41823</v>
      </c>
      <c r="B375" s="20">
        <v>344.26</v>
      </c>
      <c r="C375" s="19">
        <v>41841</v>
      </c>
      <c r="D375" s="20">
        <v>26.409400000000002</v>
      </c>
      <c r="F375" s="43"/>
    </row>
    <row r="376" spans="1:6" x14ac:dyDescent="0.3">
      <c r="A376" s="19">
        <v>41824</v>
      </c>
      <c r="B376" s="20">
        <v>345.95580000000001</v>
      </c>
      <c r="C376" s="19">
        <v>41842</v>
      </c>
      <c r="D376" s="20">
        <v>26.459800000000001</v>
      </c>
      <c r="F376" s="43"/>
    </row>
    <row r="377" spans="1:6" x14ac:dyDescent="0.3">
      <c r="A377" s="19">
        <v>41827</v>
      </c>
      <c r="B377" s="20">
        <v>346.49579999999997</v>
      </c>
      <c r="C377" s="19">
        <v>41843</v>
      </c>
      <c r="D377" s="20">
        <v>26.517800000000001</v>
      </c>
      <c r="F377" s="43"/>
    </row>
    <row r="378" spans="1:6" x14ac:dyDescent="0.3">
      <c r="A378" s="19">
        <v>41828</v>
      </c>
      <c r="B378" s="20">
        <v>339.11219999999997</v>
      </c>
      <c r="C378" s="19">
        <v>41844</v>
      </c>
      <c r="D378" s="20">
        <v>26.531099999999999</v>
      </c>
      <c r="F378" s="43"/>
    </row>
    <row r="379" spans="1:6" x14ac:dyDescent="0.3">
      <c r="A379" s="19">
        <v>41829</v>
      </c>
      <c r="B379" s="20">
        <v>335.66699999999997</v>
      </c>
      <c r="C379" s="19">
        <v>41845</v>
      </c>
      <c r="D379" s="20">
        <v>26.466899999999999</v>
      </c>
      <c r="F379" s="43"/>
    </row>
    <row r="380" spans="1:6" x14ac:dyDescent="0.3">
      <c r="A380" s="19">
        <v>41830</v>
      </c>
      <c r="B380" s="20">
        <v>336.25240000000002</v>
      </c>
      <c r="C380" s="19">
        <v>41848</v>
      </c>
      <c r="D380" s="20">
        <v>26.4206</v>
      </c>
      <c r="F380" s="43"/>
    </row>
    <row r="381" spans="1:6" x14ac:dyDescent="0.3">
      <c r="A381" s="19">
        <v>41831</v>
      </c>
      <c r="B381" s="20">
        <v>331.41860000000003</v>
      </c>
      <c r="C381" s="19">
        <v>41850</v>
      </c>
      <c r="D381" s="20">
        <v>26.372299999999999</v>
      </c>
      <c r="F381" s="43"/>
    </row>
    <row r="382" spans="1:6" x14ac:dyDescent="0.3">
      <c r="A382" s="19">
        <v>41834</v>
      </c>
      <c r="B382" s="20">
        <v>331.24169999999998</v>
      </c>
      <c r="C382" s="19">
        <v>41851</v>
      </c>
      <c r="D382" s="20">
        <v>26.3841</v>
      </c>
      <c r="F382" s="43"/>
    </row>
    <row r="383" spans="1:6" x14ac:dyDescent="0.3">
      <c r="A383" s="19">
        <v>41835</v>
      </c>
      <c r="B383" s="20">
        <v>335.51549999999997</v>
      </c>
      <c r="C383" s="19">
        <v>41852</v>
      </c>
      <c r="D383" s="20">
        <v>26.377800000000001</v>
      </c>
      <c r="F383" s="43"/>
    </row>
    <row r="384" spans="1:6" x14ac:dyDescent="0.3">
      <c r="A384" s="19">
        <v>41836</v>
      </c>
      <c r="B384" s="20">
        <v>339.77210000000002</v>
      </c>
      <c r="C384" s="19">
        <v>41855</v>
      </c>
      <c r="D384" s="20">
        <v>26.387599999999999</v>
      </c>
      <c r="F384" s="43"/>
    </row>
    <row r="385" spans="1:6" x14ac:dyDescent="0.3">
      <c r="A385" s="19">
        <v>41837</v>
      </c>
      <c r="B385" s="20">
        <v>342.61590000000001</v>
      </c>
      <c r="C385" s="19">
        <v>41856</v>
      </c>
      <c r="D385" s="20">
        <v>26.193899999999999</v>
      </c>
      <c r="F385" s="43"/>
    </row>
    <row r="386" spans="1:6" x14ac:dyDescent="0.3">
      <c r="A386" s="19">
        <v>41838</v>
      </c>
      <c r="B386" s="20">
        <v>343.70400000000001</v>
      </c>
      <c r="C386" s="19">
        <v>41857</v>
      </c>
      <c r="D386" s="20">
        <v>26.142600000000002</v>
      </c>
      <c r="F386" s="43"/>
    </row>
    <row r="387" spans="1:6" x14ac:dyDescent="0.3">
      <c r="A387" s="19">
        <v>41841</v>
      </c>
      <c r="B387" s="20">
        <v>344.16750000000002</v>
      </c>
      <c r="C387" s="19">
        <v>41858</v>
      </c>
      <c r="D387" s="20">
        <v>26.151299999999999</v>
      </c>
      <c r="F387" s="43"/>
    </row>
    <row r="388" spans="1:6" x14ac:dyDescent="0.3">
      <c r="A388" s="19">
        <v>41842</v>
      </c>
      <c r="B388" s="20">
        <v>346.18759999999997</v>
      </c>
      <c r="C388" s="19">
        <v>41859</v>
      </c>
      <c r="D388" s="20">
        <v>26.195499999999999</v>
      </c>
      <c r="F388" s="43"/>
    </row>
    <row r="389" spans="1:6" x14ac:dyDescent="0.3">
      <c r="A389" s="19">
        <v>41843</v>
      </c>
      <c r="B389" s="20">
        <v>346.55500000000001</v>
      </c>
      <c r="C389" s="19">
        <v>41862</v>
      </c>
      <c r="D389" s="20">
        <v>26.244700000000002</v>
      </c>
      <c r="F389" s="43"/>
    </row>
    <row r="390" spans="1:6" x14ac:dyDescent="0.3">
      <c r="A390" s="19">
        <v>41844</v>
      </c>
      <c r="B390" s="20">
        <v>346.95749999999998</v>
      </c>
      <c r="C390" s="19">
        <v>41863</v>
      </c>
      <c r="D390" s="20">
        <v>26.2027</v>
      </c>
      <c r="F390" s="43"/>
    </row>
    <row r="391" spans="1:6" x14ac:dyDescent="0.3">
      <c r="A391" s="19">
        <v>41845</v>
      </c>
      <c r="B391" s="20">
        <v>345.52069999999998</v>
      </c>
      <c r="C391" s="19">
        <v>41864</v>
      </c>
      <c r="D391" s="20">
        <v>26.3124</v>
      </c>
      <c r="F391" s="43"/>
    </row>
    <row r="392" spans="1:6" x14ac:dyDescent="0.3">
      <c r="A392" s="19">
        <v>41848</v>
      </c>
      <c r="B392" s="20">
        <v>344.31060000000002</v>
      </c>
      <c r="C392" s="19">
        <v>41865</v>
      </c>
      <c r="D392" s="20">
        <v>26.390599999999999</v>
      </c>
      <c r="F392" s="43"/>
    </row>
    <row r="393" spans="1:6" x14ac:dyDescent="0.3">
      <c r="A393" s="19">
        <v>41850</v>
      </c>
      <c r="B393" s="20">
        <v>347.57639999999998</v>
      </c>
      <c r="C393" s="19">
        <v>41870</v>
      </c>
      <c r="D393" s="20">
        <v>26.410699999999999</v>
      </c>
      <c r="F393" s="43"/>
    </row>
    <row r="394" spans="1:6" x14ac:dyDescent="0.3">
      <c r="A394" s="19">
        <v>41851</v>
      </c>
      <c r="B394" s="20">
        <v>346.23099999999999</v>
      </c>
      <c r="C394" s="19">
        <v>41871</v>
      </c>
      <c r="D394" s="20">
        <v>26.546800000000001</v>
      </c>
      <c r="F394" s="43"/>
    </row>
    <row r="395" spans="1:6" x14ac:dyDescent="0.3">
      <c r="A395" s="19">
        <v>41852</v>
      </c>
      <c r="B395" s="20">
        <v>343.0523</v>
      </c>
      <c r="C395" s="19">
        <v>41872</v>
      </c>
      <c r="D395" s="20">
        <v>26.524000000000001</v>
      </c>
      <c r="F395" s="43"/>
    </row>
    <row r="396" spans="1:6" x14ac:dyDescent="0.3">
      <c r="A396" s="19">
        <v>41855</v>
      </c>
      <c r="B396" s="20">
        <v>345.55579999999998</v>
      </c>
      <c r="C396" s="19">
        <v>41873</v>
      </c>
      <c r="D396" s="20">
        <v>26.552700000000002</v>
      </c>
      <c r="F396" s="43"/>
    </row>
    <row r="397" spans="1:6" x14ac:dyDescent="0.3">
      <c r="A397" s="19">
        <v>41856</v>
      </c>
      <c r="B397" s="20">
        <v>347.75380000000001</v>
      </c>
      <c r="C397" s="19">
        <v>41876</v>
      </c>
      <c r="D397" s="20">
        <v>26.5014</v>
      </c>
      <c r="F397" s="43"/>
    </row>
    <row r="398" spans="1:6" x14ac:dyDescent="0.3">
      <c r="A398" s="19">
        <v>41857</v>
      </c>
      <c r="B398" s="20">
        <v>346.63139999999999</v>
      </c>
      <c r="C398" s="19">
        <v>41877</v>
      </c>
      <c r="D398" s="20">
        <v>26.508800000000001</v>
      </c>
      <c r="F398" s="43"/>
    </row>
    <row r="399" spans="1:6" x14ac:dyDescent="0.3">
      <c r="A399" s="19">
        <v>41858</v>
      </c>
      <c r="B399" s="20">
        <v>344.61250000000001</v>
      </c>
      <c r="C399" s="19">
        <v>41878</v>
      </c>
      <c r="D399" s="20">
        <v>26.533000000000001</v>
      </c>
      <c r="F399" s="43"/>
    </row>
    <row r="400" spans="1:6" x14ac:dyDescent="0.3">
      <c r="A400" s="19">
        <v>41859</v>
      </c>
      <c r="B400" s="20">
        <v>341.07159999999999</v>
      </c>
      <c r="C400" s="19">
        <v>41879</v>
      </c>
      <c r="D400" s="20">
        <v>26.5276</v>
      </c>
      <c r="F400" s="43"/>
    </row>
    <row r="401" spans="1:6" x14ac:dyDescent="0.3">
      <c r="A401" s="19">
        <v>41862</v>
      </c>
      <c r="B401" s="20">
        <v>344.00069999999999</v>
      </c>
      <c r="C401" s="19">
        <v>41883</v>
      </c>
      <c r="D401" s="20">
        <v>26.5503</v>
      </c>
      <c r="F401" s="43"/>
    </row>
    <row r="402" spans="1:6" x14ac:dyDescent="0.3">
      <c r="A402" s="19">
        <v>41863</v>
      </c>
      <c r="B402" s="20">
        <v>347.12630000000001</v>
      </c>
      <c r="C402" s="19">
        <v>41884</v>
      </c>
      <c r="D402" s="20">
        <v>26.5992</v>
      </c>
      <c r="F402" s="43"/>
    </row>
    <row r="403" spans="1:6" x14ac:dyDescent="0.3">
      <c r="A403" s="19">
        <v>41864</v>
      </c>
      <c r="B403" s="20">
        <v>346.89679999999998</v>
      </c>
      <c r="C403" s="19">
        <v>41885</v>
      </c>
      <c r="D403" s="20">
        <v>26.599499999999999</v>
      </c>
      <c r="F403" s="43"/>
    </row>
    <row r="404" spans="1:6" x14ac:dyDescent="0.3">
      <c r="A404" s="19">
        <v>41865</v>
      </c>
      <c r="B404" s="20">
        <v>348.56020000000001</v>
      </c>
      <c r="C404" s="19">
        <v>41886</v>
      </c>
      <c r="D404" s="20">
        <v>26.605399999999999</v>
      </c>
      <c r="F404" s="43"/>
    </row>
    <row r="405" spans="1:6" x14ac:dyDescent="0.3">
      <c r="A405" s="19">
        <v>41869</v>
      </c>
      <c r="B405" s="20">
        <v>353.86239999999998</v>
      </c>
      <c r="C405" s="19">
        <v>41887</v>
      </c>
      <c r="D405" s="20">
        <v>26.615100000000002</v>
      </c>
      <c r="F405" s="43"/>
    </row>
    <row r="406" spans="1:6" x14ac:dyDescent="0.3">
      <c r="A406" s="19">
        <v>41870</v>
      </c>
      <c r="B406" s="20">
        <v>357.25779999999997</v>
      </c>
      <c r="C406" s="19">
        <v>41890</v>
      </c>
      <c r="D406" s="20">
        <v>26.665199999999999</v>
      </c>
      <c r="F406" s="43"/>
    </row>
    <row r="407" spans="1:6" x14ac:dyDescent="0.3">
      <c r="A407" s="19">
        <v>41871</v>
      </c>
      <c r="B407" s="20">
        <v>358.17059999999998</v>
      </c>
      <c r="C407" s="19">
        <v>41891</v>
      </c>
      <c r="D407" s="20">
        <v>26.639600000000002</v>
      </c>
      <c r="F407" s="43"/>
    </row>
    <row r="408" spans="1:6" x14ac:dyDescent="0.3">
      <c r="A408" s="19">
        <v>41872</v>
      </c>
      <c r="B408" s="20">
        <v>358.9502</v>
      </c>
      <c r="C408" s="19">
        <v>41892</v>
      </c>
      <c r="D408" s="20">
        <v>26.615100000000002</v>
      </c>
      <c r="F408" s="43"/>
    </row>
    <row r="409" spans="1:6" x14ac:dyDescent="0.3">
      <c r="A409" s="19">
        <v>41873</v>
      </c>
      <c r="B409" s="20">
        <v>359.4067</v>
      </c>
      <c r="C409" s="19">
        <v>41893</v>
      </c>
      <c r="D409" s="20">
        <v>26.674499999999998</v>
      </c>
      <c r="F409" s="43"/>
    </row>
    <row r="410" spans="1:6" x14ac:dyDescent="0.3">
      <c r="A410" s="19">
        <v>41876</v>
      </c>
      <c r="B410" s="20">
        <v>358.58139999999997</v>
      </c>
      <c r="C410" s="19">
        <v>41894</v>
      </c>
      <c r="D410" s="20">
        <v>26.6906</v>
      </c>
      <c r="F410" s="43"/>
    </row>
    <row r="411" spans="1:6" x14ac:dyDescent="0.3">
      <c r="A411" s="19">
        <v>41877</v>
      </c>
      <c r="B411" s="20">
        <v>358.91329999999999</v>
      </c>
      <c r="C411" s="19">
        <v>41897</v>
      </c>
      <c r="D411" s="20">
        <v>26.706399999999999</v>
      </c>
      <c r="F411" s="43"/>
    </row>
    <row r="412" spans="1:6" x14ac:dyDescent="0.3">
      <c r="A412" s="19">
        <v>41878</v>
      </c>
      <c r="B412" s="20">
        <v>360.93759999999997</v>
      </c>
      <c r="C412" s="19">
        <v>41898</v>
      </c>
      <c r="D412" s="20">
        <v>26.7241</v>
      </c>
      <c r="F412" s="43"/>
    </row>
    <row r="413" spans="1:6" x14ac:dyDescent="0.3">
      <c r="A413" s="19">
        <v>41879</v>
      </c>
      <c r="B413" s="20">
        <v>361.7158</v>
      </c>
      <c r="C413" s="19">
        <v>41899</v>
      </c>
      <c r="D413" s="20">
        <v>26.731100000000001</v>
      </c>
      <c r="F413" s="43"/>
    </row>
    <row r="414" spans="1:6" x14ac:dyDescent="0.3">
      <c r="A414" s="19">
        <v>41883</v>
      </c>
      <c r="B414" s="20">
        <v>366.10640000000001</v>
      </c>
      <c r="C414" s="19">
        <v>41900</v>
      </c>
      <c r="D414" s="20">
        <v>26.8293</v>
      </c>
      <c r="F414" s="43"/>
    </row>
    <row r="415" spans="1:6" x14ac:dyDescent="0.3">
      <c r="A415" s="19">
        <v>41884</v>
      </c>
      <c r="B415" s="20">
        <v>369.15170000000001</v>
      </c>
      <c r="C415" s="19">
        <v>41901</v>
      </c>
      <c r="D415" s="20">
        <v>26.829000000000001</v>
      </c>
      <c r="F415" s="43"/>
    </row>
    <row r="416" spans="1:6" x14ac:dyDescent="0.3">
      <c r="A416" s="19">
        <v>41885</v>
      </c>
      <c r="B416" s="20">
        <v>373.72050000000002</v>
      </c>
      <c r="C416" s="19">
        <v>41904</v>
      </c>
      <c r="D416" s="20">
        <v>26.876000000000001</v>
      </c>
      <c r="F416" s="43"/>
    </row>
    <row r="417" spans="1:6" x14ac:dyDescent="0.3">
      <c r="A417" s="19">
        <v>41886</v>
      </c>
      <c r="B417" s="20">
        <v>373.87909999999999</v>
      </c>
      <c r="C417" s="19">
        <v>41905</v>
      </c>
      <c r="D417" s="20">
        <v>26.825700000000001</v>
      </c>
      <c r="F417" s="43"/>
    </row>
    <row r="418" spans="1:6" x14ac:dyDescent="0.3">
      <c r="A418" s="19">
        <v>41887</v>
      </c>
      <c r="B418" s="20">
        <v>373.7022</v>
      </c>
      <c r="C418" s="19">
        <v>41906</v>
      </c>
      <c r="D418" s="20">
        <v>26.808700000000002</v>
      </c>
      <c r="F418" s="43"/>
    </row>
    <row r="419" spans="1:6" x14ac:dyDescent="0.3">
      <c r="A419" s="19">
        <v>41890</v>
      </c>
      <c r="B419" s="20">
        <v>377.23880000000003</v>
      </c>
      <c r="C419" s="19">
        <v>41907</v>
      </c>
      <c r="D419" s="20">
        <v>26.804600000000001</v>
      </c>
      <c r="F419" s="43"/>
    </row>
    <row r="420" spans="1:6" x14ac:dyDescent="0.3">
      <c r="A420" s="19">
        <v>41891</v>
      </c>
      <c r="B420" s="20">
        <v>377.79910000000001</v>
      </c>
      <c r="C420" s="19">
        <v>41908</v>
      </c>
      <c r="D420" s="20">
        <v>26.9057</v>
      </c>
      <c r="F420" s="43"/>
    </row>
    <row r="421" spans="1:6" x14ac:dyDescent="0.3">
      <c r="A421" s="19">
        <v>41892</v>
      </c>
      <c r="B421" s="20">
        <v>376.21429999999998</v>
      </c>
      <c r="C421" s="19">
        <v>41911</v>
      </c>
      <c r="D421" s="20">
        <v>26.8352</v>
      </c>
      <c r="F421" s="43"/>
    </row>
    <row r="422" spans="1:6" x14ac:dyDescent="0.3">
      <c r="A422" s="19">
        <v>41893</v>
      </c>
      <c r="B422" s="20">
        <v>378.08780000000002</v>
      </c>
      <c r="C422" s="19">
        <v>41912</v>
      </c>
      <c r="D422" s="20">
        <v>26.818100000000001</v>
      </c>
      <c r="F422" s="43"/>
    </row>
    <row r="423" spans="1:6" x14ac:dyDescent="0.3">
      <c r="A423" s="19">
        <v>41894</v>
      </c>
      <c r="B423" s="20">
        <v>381.41609999999997</v>
      </c>
      <c r="C423" s="19">
        <v>41913</v>
      </c>
      <c r="D423" s="20">
        <v>26.876200000000001</v>
      </c>
      <c r="F423" s="43"/>
    </row>
    <row r="424" spans="1:6" x14ac:dyDescent="0.3">
      <c r="A424" s="19">
        <v>41897</v>
      </c>
      <c r="B424" s="20">
        <v>379.7457</v>
      </c>
      <c r="C424" s="19">
        <v>41919</v>
      </c>
      <c r="D424" s="20">
        <v>26.949100000000001</v>
      </c>
      <c r="F424" s="43"/>
    </row>
    <row r="425" spans="1:6" x14ac:dyDescent="0.3">
      <c r="A425" s="19">
        <v>41898</v>
      </c>
      <c r="B425" s="20">
        <v>373.12110000000001</v>
      </c>
      <c r="C425" s="19">
        <v>41921</v>
      </c>
      <c r="D425" s="20">
        <v>26.982199999999999</v>
      </c>
      <c r="F425" s="43"/>
    </row>
    <row r="426" spans="1:6" x14ac:dyDescent="0.3">
      <c r="A426" s="19">
        <v>41899</v>
      </c>
      <c r="B426" s="20">
        <v>373.85419999999999</v>
      </c>
      <c r="C426" s="19">
        <v>41922</v>
      </c>
      <c r="D426" s="20">
        <v>27.000499999999999</v>
      </c>
      <c r="F426" s="43"/>
    </row>
    <row r="427" spans="1:6" x14ac:dyDescent="0.3">
      <c r="A427" s="19">
        <v>41900</v>
      </c>
      <c r="B427" s="20">
        <v>379.18329999999997</v>
      </c>
      <c r="C427" s="19">
        <v>41925</v>
      </c>
      <c r="D427" s="20">
        <v>27.078199999999999</v>
      </c>
      <c r="F427" s="43"/>
    </row>
    <row r="428" spans="1:6" x14ac:dyDescent="0.3">
      <c r="A428" s="19">
        <v>41901</v>
      </c>
      <c r="B428" s="20">
        <v>380.44069999999999</v>
      </c>
      <c r="C428" s="19">
        <v>41926</v>
      </c>
      <c r="D428" s="20">
        <v>27.133400000000002</v>
      </c>
      <c r="F428" s="43"/>
    </row>
    <row r="429" spans="1:6" x14ac:dyDescent="0.3">
      <c r="A429" s="19">
        <v>41904</v>
      </c>
      <c r="B429" s="20">
        <v>381.07429999999999</v>
      </c>
      <c r="C429" s="19">
        <v>41928</v>
      </c>
      <c r="D429" s="20">
        <v>27.208500000000001</v>
      </c>
      <c r="F429" s="43"/>
    </row>
    <row r="430" spans="1:6" x14ac:dyDescent="0.3">
      <c r="A430" s="19">
        <v>41905</v>
      </c>
      <c r="B430" s="20">
        <v>376.02390000000003</v>
      </c>
      <c r="C430" s="19">
        <v>41929</v>
      </c>
      <c r="D430" s="20">
        <v>27.192399999999999</v>
      </c>
      <c r="F430" s="43"/>
    </row>
    <row r="431" spans="1:6" x14ac:dyDescent="0.3">
      <c r="A431" s="19">
        <v>41906</v>
      </c>
      <c r="B431" s="20">
        <v>373.9649</v>
      </c>
      <c r="C431" s="19">
        <v>41932</v>
      </c>
      <c r="D431" s="20">
        <v>27.279199999999999</v>
      </c>
      <c r="F431" s="43"/>
    </row>
    <row r="432" spans="1:6" x14ac:dyDescent="0.3">
      <c r="A432" s="19">
        <v>41907</v>
      </c>
      <c r="B432" s="20">
        <v>370.11759999999998</v>
      </c>
      <c r="C432" s="19">
        <v>41933</v>
      </c>
      <c r="D432" s="20">
        <v>27.302600000000002</v>
      </c>
      <c r="F432" s="43"/>
    </row>
    <row r="433" spans="1:6" x14ac:dyDescent="0.3">
      <c r="A433" s="19">
        <v>41908</v>
      </c>
      <c r="B433" s="20">
        <v>373.15969999999999</v>
      </c>
      <c r="C433" s="19">
        <v>41934</v>
      </c>
      <c r="D433" s="20">
        <v>27.351400000000002</v>
      </c>
      <c r="F433" s="43"/>
    </row>
    <row r="434" spans="1:6" x14ac:dyDescent="0.3">
      <c r="A434" s="19">
        <v>41911</v>
      </c>
      <c r="B434" s="20">
        <v>373.80990000000003</v>
      </c>
      <c r="C434" s="19">
        <v>41939</v>
      </c>
      <c r="D434" s="20">
        <v>27.473800000000001</v>
      </c>
      <c r="F434" s="43"/>
    </row>
    <row r="435" spans="1:6" x14ac:dyDescent="0.3">
      <c r="A435" s="19">
        <v>41912</v>
      </c>
      <c r="B435" s="20">
        <v>375.25659999999999</v>
      </c>
      <c r="C435" s="19">
        <v>41940</v>
      </c>
      <c r="D435" s="20">
        <v>27.512499999999999</v>
      </c>
      <c r="F435" s="43"/>
    </row>
    <row r="436" spans="1:6" x14ac:dyDescent="0.3">
      <c r="A436" s="19">
        <v>41913</v>
      </c>
      <c r="B436" s="20">
        <v>374.88319999999999</v>
      </c>
      <c r="C436" s="19">
        <v>41941</v>
      </c>
      <c r="D436" s="20">
        <v>27.535900000000002</v>
      </c>
      <c r="F436" s="43"/>
    </row>
    <row r="437" spans="1:6" x14ac:dyDescent="0.3">
      <c r="A437" s="19">
        <v>41919</v>
      </c>
      <c r="B437" s="20">
        <v>371.0752</v>
      </c>
      <c r="C437" s="19">
        <v>41942</v>
      </c>
      <c r="D437" s="20">
        <v>27.635899999999999</v>
      </c>
      <c r="F437" s="43"/>
    </row>
    <row r="438" spans="1:6" x14ac:dyDescent="0.3">
      <c r="A438" s="19">
        <v>41920</v>
      </c>
      <c r="B438" s="20">
        <v>369.7491</v>
      </c>
      <c r="C438" s="19">
        <v>41943</v>
      </c>
      <c r="D438" s="20">
        <v>27.739599999999999</v>
      </c>
      <c r="F438" s="43"/>
    </row>
    <row r="439" spans="1:6" x14ac:dyDescent="0.3">
      <c r="A439" s="19">
        <v>41921</v>
      </c>
      <c r="B439" s="20">
        <v>374.83260000000001</v>
      </c>
      <c r="C439" s="19">
        <v>41946</v>
      </c>
      <c r="D439" s="20">
        <v>27.816600000000001</v>
      </c>
      <c r="F439" s="43"/>
    </row>
    <row r="440" spans="1:6" x14ac:dyDescent="0.3">
      <c r="A440" s="19">
        <v>41922</v>
      </c>
      <c r="B440" s="20">
        <v>371.13409999999999</v>
      </c>
      <c r="C440" s="19">
        <v>41948</v>
      </c>
      <c r="D440" s="20">
        <v>28.004999999999999</v>
      </c>
      <c r="F440" s="43"/>
    </row>
    <row r="441" spans="1:6" x14ac:dyDescent="0.3">
      <c r="A441" s="19">
        <v>41925</v>
      </c>
      <c r="B441" s="20">
        <v>372.78879999999998</v>
      </c>
      <c r="C441" s="19">
        <v>41950</v>
      </c>
      <c r="D441" s="20">
        <v>27.9772</v>
      </c>
      <c r="F441" s="43"/>
    </row>
    <row r="442" spans="1:6" x14ac:dyDescent="0.3">
      <c r="A442" s="19">
        <v>41926</v>
      </c>
      <c r="B442" s="20">
        <v>373.10590000000002</v>
      </c>
      <c r="C442" s="19">
        <v>41953</v>
      </c>
      <c r="D442" s="20">
        <v>28.052800000000001</v>
      </c>
      <c r="F442" s="43"/>
    </row>
    <row r="443" spans="1:6" x14ac:dyDescent="0.3">
      <c r="A443" s="19">
        <v>41928</v>
      </c>
      <c r="B443" s="20">
        <v>368.0111</v>
      </c>
      <c r="C443" s="19">
        <v>41954</v>
      </c>
      <c r="D443" s="20">
        <v>28.040700000000001</v>
      </c>
      <c r="F443" s="43"/>
    </row>
    <row r="444" spans="1:6" x14ac:dyDescent="0.3">
      <c r="A444" s="19">
        <v>41929</v>
      </c>
      <c r="B444" s="20">
        <v>370.96289999999999</v>
      </c>
      <c r="C444" s="19">
        <v>41955</v>
      </c>
      <c r="D444" s="20">
        <v>28.0822</v>
      </c>
      <c r="F444" s="43"/>
    </row>
    <row r="445" spans="1:6" x14ac:dyDescent="0.3">
      <c r="A445" s="19">
        <v>41932</v>
      </c>
      <c r="B445" s="20">
        <v>374.52460000000002</v>
      </c>
      <c r="C445" s="19">
        <v>41956</v>
      </c>
      <c r="D445" s="20">
        <v>27.983899999999998</v>
      </c>
      <c r="F445" s="43"/>
    </row>
    <row r="446" spans="1:6" x14ac:dyDescent="0.3">
      <c r="A446" s="19">
        <v>41933</v>
      </c>
      <c r="B446" s="20">
        <v>377.16649999999998</v>
      </c>
      <c r="C446" s="19">
        <v>41957</v>
      </c>
      <c r="D446" s="20">
        <v>27.972999999999999</v>
      </c>
      <c r="F446" s="43"/>
    </row>
    <row r="447" spans="1:6" x14ac:dyDescent="0.3">
      <c r="A447" s="19">
        <v>41934</v>
      </c>
      <c r="B447" s="20">
        <v>380.79599999999999</v>
      </c>
      <c r="C447" s="19">
        <v>41960</v>
      </c>
      <c r="D447" s="20">
        <v>28.0579</v>
      </c>
      <c r="F447" s="43"/>
    </row>
    <row r="448" spans="1:6" x14ac:dyDescent="0.3">
      <c r="A448" s="19">
        <v>41939</v>
      </c>
      <c r="B448" s="20">
        <v>382.44069999999999</v>
      </c>
      <c r="C448" s="19">
        <v>41961</v>
      </c>
      <c r="D448" s="20">
        <v>28.1313</v>
      </c>
      <c r="F448" s="43"/>
    </row>
    <row r="449" spans="1:6" x14ac:dyDescent="0.3">
      <c r="A449" s="19">
        <v>41940</v>
      </c>
      <c r="B449" s="20">
        <v>383.09179999999998</v>
      </c>
      <c r="C449" s="19">
        <v>41962</v>
      </c>
      <c r="D449" s="20">
        <v>28.124199999999998</v>
      </c>
      <c r="F449" s="43"/>
    </row>
    <row r="450" spans="1:6" x14ac:dyDescent="0.3">
      <c r="A450" s="19">
        <v>41941</v>
      </c>
      <c r="B450" s="20">
        <v>384.49810000000002</v>
      </c>
      <c r="C450" s="19">
        <v>41963</v>
      </c>
      <c r="D450" s="20">
        <v>28.132100000000001</v>
      </c>
      <c r="F450" s="43"/>
    </row>
    <row r="451" spans="1:6" x14ac:dyDescent="0.3">
      <c r="A451" s="19">
        <v>41942</v>
      </c>
      <c r="B451" s="20">
        <v>387.10559999999998</v>
      </c>
      <c r="C451" s="19">
        <v>41964</v>
      </c>
      <c r="D451" s="20">
        <v>28.1418</v>
      </c>
      <c r="F451" s="43"/>
    </row>
    <row r="452" spans="1:6" x14ac:dyDescent="0.3">
      <c r="A452" s="19">
        <v>41943</v>
      </c>
      <c r="B452" s="20">
        <v>392.27170000000001</v>
      </c>
      <c r="C452" s="19">
        <v>41967</v>
      </c>
      <c r="D452" s="20">
        <v>28.192</v>
      </c>
      <c r="F452" s="43"/>
    </row>
    <row r="453" spans="1:6" x14ac:dyDescent="0.3">
      <c r="A453" s="19">
        <v>41946</v>
      </c>
      <c r="B453" s="20">
        <v>393.66039999999998</v>
      </c>
      <c r="C453" s="19">
        <v>41968</v>
      </c>
      <c r="D453" s="20">
        <v>28.22</v>
      </c>
      <c r="F453" s="43"/>
    </row>
    <row r="454" spans="1:6" x14ac:dyDescent="0.3">
      <c r="A454" s="19">
        <v>41948</v>
      </c>
      <c r="B454" s="20">
        <v>395.42759999999998</v>
      </c>
      <c r="C454" s="19">
        <v>41969</v>
      </c>
      <c r="D454" s="20">
        <v>28.2318</v>
      </c>
      <c r="F454" s="43"/>
    </row>
    <row r="455" spans="1:6" x14ac:dyDescent="0.3">
      <c r="A455" s="19">
        <v>41950</v>
      </c>
      <c r="B455" s="20">
        <v>398.82900000000001</v>
      </c>
      <c r="C455" s="19">
        <v>41970</v>
      </c>
      <c r="D455" s="20">
        <v>28.240600000000001</v>
      </c>
      <c r="F455" s="43"/>
    </row>
    <row r="456" spans="1:6" x14ac:dyDescent="0.3">
      <c r="A456" s="19">
        <v>41953</v>
      </c>
      <c r="B456" s="20">
        <v>399.81079999999997</v>
      </c>
      <c r="C456" s="19">
        <v>41971</v>
      </c>
      <c r="D456" s="20">
        <v>28.4024</v>
      </c>
      <c r="F456" s="43"/>
    </row>
    <row r="457" spans="1:6" x14ac:dyDescent="0.3">
      <c r="A457" s="19">
        <v>41954</v>
      </c>
      <c r="B457" s="20">
        <v>402.52089999999998</v>
      </c>
      <c r="C457" s="19">
        <v>41974</v>
      </c>
      <c r="D457" s="20">
        <v>28.522300000000001</v>
      </c>
      <c r="F457" s="43"/>
    </row>
    <row r="458" spans="1:6" x14ac:dyDescent="0.3">
      <c r="A458" s="19">
        <v>41955</v>
      </c>
      <c r="B458" s="20">
        <v>404.29160000000002</v>
      </c>
      <c r="C458" s="19">
        <v>41975</v>
      </c>
      <c r="D458" s="20">
        <v>28.778500000000001</v>
      </c>
      <c r="F458" s="43"/>
    </row>
    <row r="459" spans="1:6" x14ac:dyDescent="0.3">
      <c r="A459" s="19">
        <v>41956</v>
      </c>
      <c r="B459" s="20">
        <v>403.18290000000002</v>
      </c>
      <c r="C459" s="19">
        <v>41976</v>
      </c>
      <c r="D459" s="20">
        <v>28.8002</v>
      </c>
      <c r="F459" s="43"/>
    </row>
    <row r="460" spans="1:6" x14ac:dyDescent="0.3">
      <c r="A460" s="19">
        <v>41957</v>
      </c>
      <c r="B460" s="20">
        <v>403.61720000000003</v>
      </c>
      <c r="C460" s="19">
        <v>41977</v>
      </c>
      <c r="D460" s="20">
        <v>28.8111</v>
      </c>
      <c r="F460" s="43"/>
    </row>
    <row r="461" spans="1:6" x14ac:dyDescent="0.3">
      <c r="A461" s="19">
        <v>41960</v>
      </c>
      <c r="B461" s="20">
        <v>405.1293</v>
      </c>
      <c r="C461" s="19">
        <v>41978</v>
      </c>
      <c r="D461" s="20">
        <v>28.9177</v>
      </c>
      <c r="F461" s="43"/>
    </row>
    <row r="462" spans="1:6" x14ac:dyDescent="0.3">
      <c r="A462" s="19">
        <v>41961</v>
      </c>
      <c r="B462" s="20">
        <v>407.5369</v>
      </c>
      <c r="C462" s="19">
        <v>41981</v>
      </c>
      <c r="D462" s="20">
        <v>28.9846</v>
      </c>
      <c r="F462" s="43"/>
    </row>
    <row r="463" spans="1:6" x14ac:dyDescent="0.3">
      <c r="A463" s="19">
        <v>41962</v>
      </c>
      <c r="B463" s="20">
        <v>408.4633</v>
      </c>
      <c r="C463" s="19">
        <v>41982</v>
      </c>
      <c r="D463" s="20">
        <v>29.081299999999999</v>
      </c>
      <c r="F463" s="43"/>
    </row>
    <row r="464" spans="1:6" x14ac:dyDescent="0.3">
      <c r="A464" s="19">
        <v>41963</v>
      </c>
      <c r="B464" s="20">
        <v>407.0548</v>
      </c>
      <c r="C464" s="19">
        <v>41983</v>
      </c>
      <c r="D464" s="20">
        <v>29.079699999999999</v>
      </c>
      <c r="F464" s="43"/>
    </row>
    <row r="465" spans="1:6" x14ac:dyDescent="0.3">
      <c r="A465" s="19">
        <v>41964</v>
      </c>
      <c r="B465" s="20">
        <v>409.51679999999999</v>
      </c>
      <c r="C465" s="19">
        <v>41984</v>
      </c>
      <c r="D465" s="20">
        <v>29.2255</v>
      </c>
      <c r="F465" s="43"/>
    </row>
    <row r="466" spans="1:6" x14ac:dyDescent="0.3">
      <c r="A466" s="19">
        <v>41967</v>
      </c>
      <c r="B466" s="20">
        <v>411.83859999999999</v>
      </c>
      <c r="C466" s="19">
        <v>41985</v>
      </c>
      <c r="D466" s="20">
        <v>29.338999999999999</v>
      </c>
      <c r="F466" s="43"/>
    </row>
    <row r="467" spans="1:6" x14ac:dyDescent="0.3">
      <c r="A467" s="19">
        <v>41968</v>
      </c>
      <c r="B467" s="20">
        <v>409.52870000000001</v>
      </c>
      <c r="C467" s="19">
        <v>41988</v>
      </c>
      <c r="D467" s="20">
        <v>29.3431</v>
      </c>
      <c r="F467" s="43"/>
    </row>
    <row r="468" spans="1:6" x14ac:dyDescent="0.3">
      <c r="A468" s="19">
        <v>41969</v>
      </c>
      <c r="B468" s="20">
        <v>409.01060000000001</v>
      </c>
      <c r="C468" s="19">
        <v>41989</v>
      </c>
      <c r="D468" s="20">
        <v>29.005800000000001</v>
      </c>
      <c r="F468" s="43"/>
    </row>
    <row r="469" spans="1:6" x14ac:dyDescent="0.3">
      <c r="A469" s="19">
        <v>41970</v>
      </c>
      <c r="B469" s="20">
        <v>410.29090000000002</v>
      </c>
      <c r="C469" s="19">
        <v>41990</v>
      </c>
      <c r="D469" s="20">
        <v>29.036300000000001</v>
      </c>
      <c r="F469" s="43"/>
    </row>
    <row r="470" spans="1:6" x14ac:dyDescent="0.3">
      <c r="A470" s="19">
        <v>41971</v>
      </c>
      <c r="B470" s="20">
        <v>414.39519999999999</v>
      </c>
      <c r="C470" s="19">
        <v>41991</v>
      </c>
      <c r="D470" s="20">
        <v>29.130800000000001</v>
      </c>
      <c r="F470" s="43"/>
    </row>
    <row r="471" spans="1:6" x14ac:dyDescent="0.3">
      <c r="A471" s="19">
        <v>41974</v>
      </c>
      <c r="B471" s="20">
        <v>415.13869999999997</v>
      </c>
      <c r="C471" s="19">
        <v>41992</v>
      </c>
      <c r="D471" s="20">
        <v>29.062100000000001</v>
      </c>
      <c r="F471" s="43"/>
    </row>
    <row r="472" spans="1:6" x14ac:dyDescent="0.3">
      <c r="A472" s="19">
        <v>41975</v>
      </c>
      <c r="B472" s="20">
        <v>415.52159999999998</v>
      </c>
      <c r="C472" s="19">
        <v>41995</v>
      </c>
      <c r="D472" s="20">
        <v>29.0608</v>
      </c>
      <c r="F472" s="43"/>
    </row>
    <row r="473" spans="1:6" x14ac:dyDescent="0.3">
      <c r="A473" s="19">
        <v>41976</v>
      </c>
      <c r="B473" s="20">
        <v>420.15429999999998</v>
      </c>
      <c r="C473" s="19">
        <v>41996</v>
      </c>
      <c r="D473" s="20">
        <v>29.121400000000001</v>
      </c>
      <c r="F473" s="43"/>
    </row>
    <row r="474" spans="1:6" x14ac:dyDescent="0.3">
      <c r="A474" s="19">
        <v>41977</v>
      </c>
      <c r="B474" s="20">
        <v>420.78489999999999</v>
      </c>
      <c r="C474" s="19">
        <v>41997</v>
      </c>
      <c r="D474" s="20">
        <v>29.074400000000001</v>
      </c>
      <c r="F474" s="43"/>
    </row>
    <row r="475" spans="1:6" x14ac:dyDescent="0.3">
      <c r="A475" s="19">
        <v>41978</v>
      </c>
      <c r="B475" s="20">
        <v>418.53289999999998</v>
      </c>
      <c r="C475" s="19">
        <v>41999</v>
      </c>
      <c r="D475" s="20">
        <v>29.024000000000001</v>
      </c>
      <c r="F475" s="43"/>
    </row>
    <row r="476" spans="1:6" x14ac:dyDescent="0.3">
      <c r="A476" s="19">
        <v>41981</v>
      </c>
      <c r="B476" s="20">
        <v>413.54660000000001</v>
      </c>
      <c r="C476" s="19">
        <v>42002</v>
      </c>
      <c r="D476" s="20">
        <v>29.1447</v>
      </c>
      <c r="F476" s="43"/>
    </row>
    <row r="477" spans="1:6" x14ac:dyDescent="0.3">
      <c r="A477" s="19">
        <v>41982</v>
      </c>
      <c r="B477" s="20">
        <v>408.48540000000003</v>
      </c>
      <c r="C477" s="19">
        <v>42003</v>
      </c>
      <c r="D477" s="20">
        <v>29.266999999999999</v>
      </c>
      <c r="F477" s="43"/>
    </row>
    <row r="478" spans="1:6" x14ac:dyDescent="0.3">
      <c r="A478" s="19">
        <v>41983</v>
      </c>
      <c r="B478" s="20">
        <v>410.1234</v>
      </c>
      <c r="C478" s="19">
        <v>42004</v>
      </c>
      <c r="D478" s="20">
        <v>29.300899999999999</v>
      </c>
      <c r="F478" s="43"/>
    </row>
    <row r="479" spans="1:6" x14ac:dyDescent="0.3">
      <c r="A479" s="19">
        <v>41984</v>
      </c>
      <c r="B479" s="20">
        <v>406.71469999999999</v>
      </c>
      <c r="C479" s="19">
        <v>42005</v>
      </c>
      <c r="D479" s="20">
        <v>29.255700000000001</v>
      </c>
      <c r="F479" s="43"/>
    </row>
    <row r="480" spans="1:6" x14ac:dyDescent="0.3">
      <c r="A480" s="19">
        <v>41985</v>
      </c>
      <c r="B480" s="20">
        <v>405.47230000000002</v>
      </c>
      <c r="C480" s="19">
        <v>42006</v>
      </c>
      <c r="D480" s="20">
        <v>29.219100000000001</v>
      </c>
      <c r="F480" s="43"/>
    </row>
    <row r="481" spans="1:6" x14ac:dyDescent="0.3">
      <c r="A481" s="19">
        <v>41988</v>
      </c>
      <c r="B481" s="20">
        <v>405.93310000000002</v>
      </c>
      <c r="C481" s="19">
        <v>42009</v>
      </c>
      <c r="D481" s="20">
        <v>29.1934</v>
      </c>
      <c r="F481" s="43"/>
    </row>
    <row r="482" spans="1:6" x14ac:dyDescent="0.3">
      <c r="A482" s="19">
        <v>41989</v>
      </c>
      <c r="B482" s="20">
        <v>398.42910000000001</v>
      </c>
      <c r="C482" s="19">
        <v>42010</v>
      </c>
      <c r="D482" s="20">
        <v>29.185199999999998</v>
      </c>
      <c r="F482" s="43"/>
    </row>
    <row r="483" spans="1:6" x14ac:dyDescent="0.3">
      <c r="A483" s="19">
        <v>41990</v>
      </c>
      <c r="B483" s="20">
        <v>396.65100000000001</v>
      </c>
      <c r="C483" s="19">
        <v>42011</v>
      </c>
      <c r="D483" s="20">
        <v>29.278400000000001</v>
      </c>
      <c r="F483" s="43"/>
    </row>
    <row r="484" spans="1:6" x14ac:dyDescent="0.3">
      <c r="A484" s="19">
        <v>41991</v>
      </c>
      <c r="B484" s="20">
        <v>404.4074</v>
      </c>
      <c r="C484" s="19">
        <v>42012</v>
      </c>
      <c r="D484" s="20">
        <v>29.292999999999999</v>
      </c>
      <c r="F484" s="43"/>
    </row>
    <row r="485" spans="1:6" x14ac:dyDescent="0.3">
      <c r="A485" s="19">
        <v>41992</v>
      </c>
      <c r="B485" s="20">
        <v>408.12299999999999</v>
      </c>
      <c r="C485" s="19">
        <v>42013</v>
      </c>
      <c r="D485" s="20">
        <v>29.322299999999998</v>
      </c>
      <c r="F485" s="43"/>
    </row>
    <row r="486" spans="1:6" x14ac:dyDescent="0.3">
      <c r="A486" s="19">
        <v>41995</v>
      </c>
      <c r="B486" s="20">
        <v>411.31880000000001</v>
      </c>
      <c r="C486" s="19">
        <v>42016</v>
      </c>
      <c r="D486" s="20">
        <v>29.430900000000001</v>
      </c>
      <c r="F486" s="43"/>
    </row>
    <row r="487" spans="1:6" x14ac:dyDescent="0.3">
      <c r="A487" s="19">
        <v>41996</v>
      </c>
      <c r="B487" s="20">
        <v>409.90480000000002</v>
      </c>
      <c r="C487" s="19">
        <v>42017</v>
      </c>
      <c r="D487" s="20">
        <v>29.5381</v>
      </c>
      <c r="F487" s="43"/>
    </row>
    <row r="488" spans="1:6" x14ac:dyDescent="0.3">
      <c r="A488" s="19">
        <v>41997</v>
      </c>
      <c r="B488" s="20">
        <v>408.41370000000001</v>
      </c>
      <c r="C488" s="19">
        <v>42018</v>
      </c>
      <c r="D488" s="20">
        <v>29.537400000000002</v>
      </c>
      <c r="F488" s="43"/>
    </row>
    <row r="489" spans="1:6" x14ac:dyDescent="0.3">
      <c r="A489" s="19">
        <v>41999</v>
      </c>
      <c r="B489" s="20">
        <v>410.27929999999998</v>
      </c>
      <c r="C489" s="19">
        <v>42019</v>
      </c>
      <c r="D489" s="20">
        <v>29.810400000000001</v>
      </c>
      <c r="F489" s="43"/>
    </row>
    <row r="490" spans="1:6" x14ac:dyDescent="0.3">
      <c r="A490" s="19">
        <v>42002</v>
      </c>
      <c r="B490" s="20">
        <v>412.37639999999999</v>
      </c>
      <c r="C490" s="19">
        <v>42020</v>
      </c>
      <c r="D490" s="20">
        <v>29.9039</v>
      </c>
      <c r="F490" s="43"/>
    </row>
    <row r="491" spans="1:6" x14ac:dyDescent="0.3">
      <c r="A491" s="19">
        <v>42003</v>
      </c>
      <c r="B491" s="20">
        <v>414.71170000000001</v>
      </c>
      <c r="C491" s="19">
        <v>42023</v>
      </c>
      <c r="D491" s="20">
        <v>29.8734</v>
      </c>
      <c r="F491" s="43"/>
    </row>
    <row r="492" spans="1:6" x14ac:dyDescent="0.3">
      <c r="A492" s="19">
        <v>42004</v>
      </c>
      <c r="B492" s="20">
        <v>417.60070000000002</v>
      </c>
      <c r="C492" s="19">
        <v>42024</v>
      </c>
      <c r="D492" s="20">
        <v>29.9238</v>
      </c>
      <c r="F492" s="43"/>
    </row>
    <row r="493" spans="1:6" x14ac:dyDescent="0.3">
      <c r="A493" s="19">
        <v>42005</v>
      </c>
      <c r="B493" s="20">
        <v>418.63319999999999</v>
      </c>
      <c r="C493" s="19">
        <v>42025</v>
      </c>
      <c r="D493" s="20">
        <v>30.063500000000001</v>
      </c>
      <c r="F493" s="43"/>
    </row>
    <row r="494" spans="1:6" x14ac:dyDescent="0.3">
      <c r="A494" s="19">
        <v>42006</v>
      </c>
      <c r="B494" s="20">
        <v>423.92309999999998</v>
      </c>
      <c r="C494" s="19">
        <v>42026</v>
      </c>
      <c r="D494" s="20">
        <v>30.058700000000002</v>
      </c>
      <c r="F494" s="43"/>
    </row>
    <row r="495" spans="1:6" x14ac:dyDescent="0.3">
      <c r="A495" s="19">
        <v>42009</v>
      </c>
      <c r="B495" s="20">
        <v>423.78059999999999</v>
      </c>
      <c r="C495" s="19">
        <v>42027</v>
      </c>
      <c r="D495" s="20">
        <v>30.085799999999999</v>
      </c>
      <c r="F495" s="43"/>
    </row>
    <row r="496" spans="1:6" x14ac:dyDescent="0.3">
      <c r="A496" s="19">
        <v>42010</v>
      </c>
      <c r="B496" s="20">
        <v>414.65120000000002</v>
      </c>
      <c r="C496" s="19">
        <v>42031</v>
      </c>
      <c r="D496" s="20">
        <v>30.110399999999998</v>
      </c>
      <c r="F496" s="43"/>
    </row>
    <row r="497" spans="1:6" x14ac:dyDescent="0.3">
      <c r="A497" s="19">
        <v>42011</v>
      </c>
      <c r="B497" s="20">
        <v>414.45330000000001</v>
      </c>
      <c r="C497" s="19">
        <v>42032</v>
      </c>
      <c r="D497" s="20">
        <v>30.149100000000001</v>
      </c>
      <c r="F497" s="43"/>
    </row>
    <row r="498" spans="1:6" x14ac:dyDescent="0.3">
      <c r="A498" s="19">
        <v>42012</v>
      </c>
      <c r="B498" s="20">
        <v>420.33370000000002</v>
      </c>
      <c r="C498" s="19">
        <v>42033</v>
      </c>
      <c r="D498" s="20">
        <v>30.147200000000002</v>
      </c>
      <c r="F498" s="43"/>
    </row>
    <row r="499" spans="1:6" x14ac:dyDescent="0.3">
      <c r="A499" s="19">
        <v>42013</v>
      </c>
      <c r="B499" s="20">
        <v>421.94819999999999</v>
      </c>
      <c r="C499" s="19">
        <v>42034</v>
      </c>
      <c r="D499" s="20">
        <v>30.204999999999998</v>
      </c>
      <c r="F499" s="43"/>
    </row>
    <row r="500" spans="1:6" x14ac:dyDescent="0.3">
      <c r="A500" s="19">
        <v>42016</v>
      </c>
      <c r="B500" s="20">
        <v>423.22430000000003</v>
      </c>
      <c r="C500" s="19">
        <v>42037</v>
      </c>
      <c r="D500" s="20">
        <v>30.374500000000001</v>
      </c>
      <c r="F500" s="43"/>
    </row>
    <row r="501" spans="1:6" x14ac:dyDescent="0.3">
      <c r="A501" s="19">
        <v>42017</v>
      </c>
      <c r="B501" s="20">
        <v>423.83670000000001</v>
      </c>
      <c r="C501" s="19">
        <v>42038</v>
      </c>
      <c r="D501" s="20">
        <v>30.268999999999998</v>
      </c>
      <c r="F501" s="43"/>
    </row>
    <row r="502" spans="1:6" x14ac:dyDescent="0.3">
      <c r="A502" s="19">
        <v>42018</v>
      </c>
      <c r="B502" s="20">
        <v>424.00900000000001</v>
      </c>
      <c r="C502" s="19">
        <v>42039</v>
      </c>
      <c r="D502" s="20">
        <v>30.2577</v>
      </c>
      <c r="F502" s="43"/>
    </row>
    <row r="503" spans="1:6" x14ac:dyDescent="0.3">
      <c r="A503" s="19">
        <v>42019</v>
      </c>
      <c r="B503" s="20">
        <v>429.9502</v>
      </c>
      <c r="C503" s="19">
        <v>42040</v>
      </c>
      <c r="D503" s="20">
        <v>30.2944</v>
      </c>
      <c r="F503" s="43"/>
    </row>
    <row r="504" spans="1:6" x14ac:dyDescent="0.3">
      <c r="A504" s="19">
        <v>42020</v>
      </c>
      <c r="B504" s="20">
        <v>429.5147</v>
      </c>
      <c r="C504" s="19">
        <v>42041</v>
      </c>
      <c r="D504" s="20">
        <v>30.310300000000002</v>
      </c>
      <c r="F504" s="43"/>
    </row>
    <row r="505" spans="1:6" x14ac:dyDescent="0.3">
      <c r="A505" s="19">
        <v>42023</v>
      </c>
      <c r="B505" s="20">
        <v>432.41180000000003</v>
      </c>
      <c r="C505" s="19">
        <v>42044</v>
      </c>
      <c r="D505" s="20">
        <v>30.282499999999999</v>
      </c>
      <c r="F505" s="43"/>
    </row>
    <row r="506" spans="1:6" x14ac:dyDescent="0.3">
      <c r="A506" s="19">
        <v>42024</v>
      </c>
      <c r="B506" s="20">
        <v>435.95620000000002</v>
      </c>
      <c r="C506" s="19">
        <v>42045</v>
      </c>
      <c r="D506" s="20">
        <v>30.2864</v>
      </c>
      <c r="F506" s="43"/>
    </row>
    <row r="507" spans="1:6" x14ac:dyDescent="0.3">
      <c r="A507" s="19">
        <v>42025</v>
      </c>
      <c r="B507" s="20">
        <v>438.14550000000003</v>
      </c>
      <c r="C507" s="19">
        <v>42046</v>
      </c>
      <c r="D507" s="20">
        <v>30.267399999999999</v>
      </c>
      <c r="F507" s="43"/>
    </row>
    <row r="508" spans="1:6" x14ac:dyDescent="0.3">
      <c r="A508" s="19">
        <v>42026</v>
      </c>
      <c r="B508" s="20">
        <v>440.30309999999997</v>
      </c>
      <c r="C508" s="19">
        <v>42047</v>
      </c>
      <c r="D508" s="20">
        <v>30.233000000000001</v>
      </c>
      <c r="F508" s="43"/>
    </row>
    <row r="509" spans="1:6" x14ac:dyDescent="0.3">
      <c r="A509" s="19">
        <v>42027</v>
      </c>
      <c r="B509" s="20">
        <v>443.06709999999998</v>
      </c>
      <c r="C509" s="19">
        <v>42048</v>
      </c>
      <c r="D509" s="20">
        <v>30.3583</v>
      </c>
      <c r="F509" s="43"/>
    </row>
    <row r="510" spans="1:6" x14ac:dyDescent="0.3">
      <c r="A510" s="19">
        <v>42031</v>
      </c>
      <c r="B510" s="20">
        <v>448.09989999999999</v>
      </c>
      <c r="C510" s="19">
        <v>42051</v>
      </c>
      <c r="D510" s="20">
        <v>30.3367</v>
      </c>
      <c r="F510" s="43"/>
    </row>
    <row r="511" spans="1:6" x14ac:dyDescent="0.3">
      <c r="A511" s="19">
        <v>42032</v>
      </c>
      <c r="B511" s="20">
        <v>449.02760000000001</v>
      </c>
      <c r="C511" s="19">
        <v>42053</v>
      </c>
      <c r="D511" s="20">
        <v>30.339600000000001</v>
      </c>
      <c r="F511" s="43"/>
    </row>
    <row r="512" spans="1:6" x14ac:dyDescent="0.3">
      <c r="A512" s="19">
        <v>42033</v>
      </c>
      <c r="B512" s="20">
        <v>447.92140000000001</v>
      </c>
      <c r="C512" s="19">
        <v>42055</v>
      </c>
      <c r="D512" s="20">
        <v>30.381699999999999</v>
      </c>
      <c r="F512" s="43"/>
    </row>
    <row r="513" spans="1:6" x14ac:dyDescent="0.3">
      <c r="A513" s="19">
        <v>42034</v>
      </c>
      <c r="B513" s="20">
        <v>443.03680000000003</v>
      </c>
      <c r="C513" s="19">
        <v>42058</v>
      </c>
      <c r="D513" s="20">
        <v>30.385200000000001</v>
      </c>
      <c r="F513" s="43"/>
    </row>
    <row r="514" spans="1:6" x14ac:dyDescent="0.3">
      <c r="A514" s="19">
        <v>42037</v>
      </c>
      <c r="B514" s="20">
        <v>442.9049</v>
      </c>
      <c r="C514" s="19">
        <v>42059</v>
      </c>
      <c r="D514" s="20">
        <v>30.360800000000001</v>
      </c>
      <c r="F514" s="43"/>
    </row>
    <row r="515" spans="1:6" x14ac:dyDescent="0.3">
      <c r="A515" s="19">
        <v>42038</v>
      </c>
      <c r="B515" s="20">
        <v>439.53399999999999</v>
      </c>
      <c r="C515" s="19">
        <v>42060</v>
      </c>
      <c r="D515" s="20">
        <v>30.377300000000002</v>
      </c>
      <c r="F515" s="43"/>
    </row>
    <row r="516" spans="1:6" x14ac:dyDescent="0.3">
      <c r="A516" s="19">
        <v>42039</v>
      </c>
      <c r="B516" s="20">
        <v>438.26769999999999</v>
      </c>
      <c r="C516" s="19">
        <v>42061</v>
      </c>
      <c r="D516" s="20">
        <v>30.3371</v>
      </c>
      <c r="F516" s="43"/>
    </row>
    <row r="517" spans="1:6" x14ac:dyDescent="0.3">
      <c r="A517" s="19">
        <v>42040</v>
      </c>
      <c r="B517" s="20">
        <v>437.08569999999997</v>
      </c>
      <c r="C517" s="19">
        <v>42062</v>
      </c>
      <c r="D517" s="20">
        <v>30.380299999999998</v>
      </c>
      <c r="F517" s="43"/>
    </row>
    <row r="518" spans="1:6" x14ac:dyDescent="0.3">
      <c r="A518" s="19">
        <v>42041</v>
      </c>
      <c r="B518" s="20">
        <v>432.70839999999998</v>
      </c>
      <c r="C518" s="19">
        <v>42065</v>
      </c>
      <c r="D518" s="20">
        <v>30.360600000000002</v>
      </c>
      <c r="F518" s="43"/>
    </row>
    <row r="519" spans="1:6" x14ac:dyDescent="0.3">
      <c r="A519" s="19">
        <v>42044</v>
      </c>
      <c r="B519" s="20">
        <v>427.64190000000002</v>
      </c>
      <c r="C519" s="19">
        <v>42066</v>
      </c>
      <c r="D519" s="20">
        <v>30.32</v>
      </c>
      <c r="F519" s="43"/>
    </row>
    <row r="520" spans="1:6" x14ac:dyDescent="0.3">
      <c r="A520" s="19">
        <v>42045</v>
      </c>
      <c r="B520" s="20">
        <v>431.96539999999999</v>
      </c>
      <c r="C520" s="19">
        <v>42067</v>
      </c>
      <c r="D520" s="20">
        <v>30.455400000000001</v>
      </c>
      <c r="F520" s="43"/>
    </row>
    <row r="521" spans="1:6" x14ac:dyDescent="0.3">
      <c r="A521" s="19">
        <v>42046</v>
      </c>
      <c r="B521" s="20">
        <v>437.15179999999998</v>
      </c>
      <c r="C521" s="19">
        <v>42068</v>
      </c>
      <c r="D521" s="20">
        <v>30.3721</v>
      </c>
      <c r="F521" s="43"/>
    </row>
    <row r="522" spans="1:6" x14ac:dyDescent="0.3">
      <c r="A522" s="19">
        <v>42047</v>
      </c>
      <c r="B522" s="20">
        <v>442.3426</v>
      </c>
      <c r="C522" s="19">
        <v>42072</v>
      </c>
      <c r="D522" s="20">
        <v>30.2971</v>
      </c>
      <c r="F522" s="43"/>
    </row>
    <row r="523" spans="1:6" x14ac:dyDescent="0.3">
      <c r="A523" s="19">
        <v>42048</v>
      </c>
      <c r="B523" s="20">
        <v>444.50220000000002</v>
      </c>
      <c r="C523" s="19">
        <v>42073</v>
      </c>
      <c r="D523" s="20">
        <v>30.2486</v>
      </c>
      <c r="F523" s="43"/>
    </row>
    <row r="524" spans="1:6" x14ac:dyDescent="0.3">
      <c r="A524" s="19">
        <v>42051</v>
      </c>
      <c r="B524" s="20">
        <v>442.20460000000003</v>
      </c>
      <c r="C524" s="19">
        <v>42074</v>
      </c>
      <c r="D524" s="20">
        <v>30.248100000000001</v>
      </c>
      <c r="F524" s="43"/>
    </row>
    <row r="525" spans="1:6" x14ac:dyDescent="0.3">
      <c r="A525" s="19">
        <v>42053</v>
      </c>
      <c r="B525" s="20">
        <v>445.72719999999998</v>
      </c>
      <c r="C525" s="19">
        <v>42075</v>
      </c>
      <c r="D525" s="20">
        <v>30.310199999999998</v>
      </c>
      <c r="F525" s="43"/>
    </row>
    <row r="526" spans="1:6" x14ac:dyDescent="0.3">
      <c r="A526" s="19">
        <v>42054</v>
      </c>
      <c r="B526" s="20">
        <v>444.80919999999998</v>
      </c>
      <c r="C526" s="19">
        <v>42076</v>
      </c>
      <c r="D526" s="20">
        <v>30.184899999999999</v>
      </c>
      <c r="F526" s="43"/>
    </row>
    <row r="527" spans="1:6" x14ac:dyDescent="0.3">
      <c r="A527" s="19">
        <v>42055</v>
      </c>
      <c r="B527" s="20">
        <v>443.62369999999999</v>
      </c>
      <c r="C527" s="19">
        <v>42079</v>
      </c>
      <c r="D527" s="20">
        <v>30.201699999999999</v>
      </c>
      <c r="F527" s="43"/>
    </row>
    <row r="528" spans="1:6" x14ac:dyDescent="0.3">
      <c r="A528" s="19">
        <v>42058</v>
      </c>
      <c r="B528" s="20">
        <v>440.12400000000002</v>
      </c>
      <c r="C528" s="19">
        <v>42080</v>
      </c>
      <c r="D528" s="20">
        <v>30.2455</v>
      </c>
      <c r="F528" s="43"/>
    </row>
    <row r="529" spans="1:6" x14ac:dyDescent="0.3">
      <c r="A529" s="19">
        <v>42059</v>
      </c>
      <c r="B529" s="20">
        <v>439.13119999999998</v>
      </c>
      <c r="C529" s="19">
        <v>42081</v>
      </c>
      <c r="D529" s="20">
        <v>30.2103</v>
      </c>
      <c r="F529" s="43"/>
    </row>
    <row r="530" spans="1:6" x14ac:dyDescent="0.3">
      <c r="A530" s="19">
        <v>42060</v>
      </c>
      <c r="B530" s="20">
        <v>438.06700000000001</v>
      </c>
      <c r="C530" s="19">
        <v>42082</v>
      </c>
      <c r="D530" s="20">
        <v>30.277100000000001</v>
      </c>
      <c r="F530" s="43"/>
    </row>
    <row r="531" spans="1:6" x14ac:dyDescent="0.3">
      <c r="A531" s="19">
        <v>42061</v>
      </c>
      <c r="B531" s="20">
        <v>433.59820000000002</v>
      </c>
      <c r="C531" s="19">
        <v>42083</v>
      </c>
      <c r="D531" s="20">
        <v>30.2897</v>
      </c>
      <c r="F531" s="43"/>
    </row>
    <row r="532" spans="1:6" x14ac:dyDescent="0.3">
      <c r="A532" s="19">
        <v>42062</v>
      </c>
      <c r="B532" s="20">
        <v>441.18900000000002</v>
      </c>
      <c r="C532" s="19">
        <v>42086</v>
      </c>
      <c r="D532" s="20">
        <v>30.2851</v>
      </c>
      <c r="F532" s="43"/>
    </row>
    <row r="533" spans="1:6" x14ac:dyDescent="0.3">
      <c r="A533" s="19">
        <v>42065</v>
      </c>
      <c r="B533" s="20">
        <v>451.33589999999998</v>
      </c>
      <c r="C533" s="19">
        <v>42087</v>
      </c>
      <c r="D533" s="20">
        <v>30.2699</v>
      </c>
      <c r="F533" s="43"/>
    </row>
    <row r="534" spans="1:6" x14ac:dyDescent="0.3">
      <c r="A534" s="19">
        <v>42066</v>
      </c>
      <c r="B534" s="20">
        <v>453.32089999999999</v>
      </c>
      <c r="C534" s="19">
        <v>42088</v>
      </c>
      <c r="D534" s="20">
        <v>30.218900000000001</v>
      </c>
      <c r="F534" s="43"/>
    </row>
    <row r="535" spans="1:6" x14ac:dyDescent="0.3">
      <c r="A535" s="19">
        <v>42067</v>
      </c>
      <c r="B535" s="20">
        <v>450.86900000000003</v>
      </c>
      <c r="C535" s="19">
        <v>42089</v>
      </c>
      <c r="D535" s="20">
        <v>30.166699999999999</v>
      </c>
      <c r="F535" s="43"/>
    </row>
    <row r="536" spans="1:6" x14ac:dyDescent="0.3">
      <c r="A536" s="19">
        <v>42068</v>
      </c>
      <c r="B536" s="20">
        <v>451.60239999999999</v>
      </c>
      <c r="C536" s="19">
        <v>42090</v>
      </c>
      <c r="D536" s="20">
        <v>30.199200000000001</v>
      </c>
      <c r="F536" s="43"/>
    </row>
    <row r="537" spans="1:6" x14ac:dyDescent="0.3">
      <c r="A537" s="19">
        <v>42072</v>
      </c>
      <c r="B537" s="20">
        <v>443.94189999999998</v>
      </c>
      <c r="C537" s="19">
        <v>42093</v>
      </c>
      <c r="D537" s="20">
        <v>30.273199999999999</v>
      </c>
      <c r="F537" s="43"/>
    </row>
    <row r="538" spans="1:6" x14ac:dyDescent="0.3">
      <c r="A538" s="19">
        <v>42073</v>
      </c>
      <c r="B538" s="20">
        <v>444.51260000000002</v>
      </c>
      <c r="C538" s="19">
        <v>42094</v>
      </c>
      <c r="D538" s="20">
        <v>30.3645</v>
      </c>
      <c r="F538" s="43"/>
    </row>
    <row r="539" spans="1:6" x14ac:dyDescent="0.3">
      <c r="A539" s="19">
        <v>42074</v>
      </c>
      <c r="B539" s="20">
        <v>444.22620000000001</v>
      </c>
      <c r="C539" s="19">
        <v>42100</v>
      </c>
      <c r="D539" s="20">
        <v>30.4542</v>
      </c>
      <c r="F539" s="43"/>
    </row>
    <row r="540" spans="1:6" x14ac:dyDescent="0.3">
      <c r="A540" s="19">
        <v>42075</v>
      </c>
      <c r="B540" s="20">
        <v>448.32260000000002</v>
      </c>
      <c r="C540" s="19">
        <v>42101</v>
      </c>
      <c r="D540" s="20">
        <v>30.310600000000001</v>
      </c>
      <c r="F540" s="43"/>
    </row>
    <row r="541" spans="1:6" x14ac:dyDescent="0.3">
      <c r="A541" s="19">
        <v>42076</v>
      </c>
      <c r="B541" s="20">
        <v>443.26389999999998</v>
      </c>
      <c r="C541" s="19">
        <v>42102</v>
      </c>
      <c r="D541" s="20">
        <v>30.3033</v>
      </c>
      <c r="F541" s="43"/>
    </row>
    <row r="542" spans="1:6" x14ac:dyDescent="0.3">
      <c r="A542" s="19">
        <v>42079</v>
      </c>
      <c r="B542" s="20">
        <v>443.80169999999998</v>
      </c>
      <c r="C542" s="19">
        <v>42103</v>
      </c>
      <c r="D542" s="20">
        <v>30.329000000000001</v>
      </c>
      <c r="F542" s="43"/>
    </row>
    <row r="543" spans="1:6" x14ac:dyDescent="0.3">
      <c r="A543" s="19">
        <v>42080</v>
      </c>
      <c r="B543" s="20">
        <v>448.58690000000001</v>
      </c>
      <c r="C543" s="19">
        <v>42104</v>
      </c>
      <c r="D543" s="20">
        <v>30.305099999999999</v>
      </c>
      <c r="F543" s="43"/>
    </row>
    <row r="544" spans="1:6" x14ac:dyDescent="0.3">
      <c r="A544" s="19">
        <v>42081</v>
      </c>
      <c r="B544" s="20">
        <v>447.60829999999999</v>
      </c>
      <c r="C544" s="19">
        <v>42107</v>
      </c>
      <c r="D544" s="20">
        <v>30.300699999999999</v>
      </c>
      <c r="F544" s="43"/>
    </row>
    <row r="545" spans="1:6" x14ac:dyDescent="0.3">
      <c r="A545" s="19">
        <v>42082</v>
      </c>
      <c r="B545" s="20">
        <v>444.98570000000001</v>
      </c>
      <c r="C545" s="19">
        <v>42109</v>
      </c>
      <c r="D545" s="20">
        <v>30.331800000000001</v>
      </c>
      <c r="F545" s="43"/>
    </row>
    <row r="546" spans="1:6" x14ac:dyDescent="0.3">
      <c r="A546" s="19">
        <v>42083</v>
      </c>
      <c r="B546" s="20">
        <v>442.74689999999998</v>
      </c>
      <c r="C546" s="19">
        <v>42110</v>
      </c>
      <c r="D546" s="20">
        <v>30.323899999999998</v>
      </c>
      <c r="F546" s="43"/>
    </row>
    <row r="547" spans="1:6" x14ac:dyDescent="0.3">
      <c r="A547" s="19">
        <v>42086</v>
      </c>
      <c r="B547" s="20">
        <v>441.82510000000002</v>
      </c>
      <c r="C547" s="19">
        <v>42111</v>
      </c>
      <c r="D547" s="20">
        <v>30.332599999999999</v>
      </c>
      <c r="F547" s="43"/>
    </row>
    <row r="548" spans="1:6" x14ac:dyDescent="0.3">
      <c r="A548" s="19">
        <v>42087</v>
      </c>
      <c r="B548" s="20">
        <v>440.2586</v>
      </c>
      <c r="C548" s="19">
        <v>42114</v>
      </c>
      <c r="D548" s="20">
        <v>30.348800000000001</v>
      </c>
      <c r="F548" s="43"/>
    </row>
    <row r="549" spans="1:6" x14ac:dyDescent="0.3">
      <c r="A549" s="19">
        <v>42088</v>
      </c>
      <c r="B549" s="20">
        <v>439.7106</v>
      </c>
      <c r="C549" s="19">
        <v>42115</v>
      </c>
      <c r="D549" s="20">
        <v>30.376300000000001</v>
      </c>
      <c r="F549" s="43"/>
    </row>
    <row r="550" spans="1:6" x14ac:dyDescent="0.3">
      <c r="A550" s="19">
        <v>42089</v>
      </c>
      <c r="B550" s="20">
        <v>434.52600000000001</v>
      </c>
      <c r="C550" s="19">
        <v>42116</v>
      </c>
      <c r="D550" s="20">
        <v>30.424600000000002</v>
      </c>
      <c r="F550" s="43"/>
    </row>
    <row r="551" spans="1:6" x14ac:dyDescent="0.3">
      <c r="A551" s="19">
        <v>42090</v>
      </c>
      <c r="B551" s="20">
        <v>434.97710000000001</v>
      </c>
      <c r="C551" s="19">
        <v>42117</v>
      </c>
      <c r="D551" s="20">
        <v>30.414300000000001</v>
      </c>
      <c r="F551" s="43"/>
    </row>
    <row r="552" spans="1:6" x14ac:dyDescent="0.3">
      <c r="A552" s="19">
        <v>42093</v>
      </c>
      <c r="B552" s="20">
        <v>441.23910000000001</v>
      </c>
      <c r="C552" s="19">
        <v>42118</v>
      </c>
      <c r="D552" s="20">
        <v>30.364799999999999</v>
      </c>
      <c r="F552" s="43"/>
    </row>
    <row r="553" spans="1:6" x14ac:dyDescent="0.3">
      <c r="A553" s="19">
        <v>42094</v>
      </c>
      <c r="B553" s="20">
        <v>442.1925</v>
      </c>
      <c r="C553" s="19">
        <v>42121</v>
      </c>
      <c r="D553" s="20">
        <v>30.385000000000002</v>
      </c>
      <c r="F553" s="43"/>
    </row>
    <row r="554" spans="1:6" x14ac:dyDescent="0.3">
      <c r="A554" s="19">
        <v>42095</v>
      </c>
      <c r="B554" s="20">
        <v>447.74770000000001</v>
      </c>
      <c r="C554" s="19">
        <v>42122</v>
      </c>
      <c r="D554" s="20">
        <v>30.405899999999999</v>
      </c>
      <c r="F554" s="43"/>
    </row>
    <row r="555" spans="1:6" x14ac:dyDescent="0.3">
      <c r="A555" s="19">
        <v>42100</v>
      </c>
      <c r="B555" s="20">
        <v>449.08819999999997</v>
      </c>
      <c r="C555" s="19">
        <v>42123</v>
      </c>
      <c r="D555" s="20">
        <v>30.344000000000001</v>
      </c>
      <c r="F555" s="43"/>
    </row>
    <row r="556" spans="1:6" x14ac:dyDescent="0.3">
      <c r="A556" s="19">
        <v>42101</v>
      </c>
      <c r="B556" s="20">
        <v>450.04169999999999</v>
      </c>
      <c r="C556" s="19">
        <v>42124</v>
      </c>
      <c r="D556" s="20">
        <v>30.293800000000001</v>
      </c>
      <c r="F556" s="43"/>
    </row>
    <row r="557" spans="1:6" x14ac:dyDescent="0.3">
      <c r="A557" s="19">
        <v>42102</v>
      </c>
      <c r="B557" s="20">
        <v>453.33539999999999</v>
      </c>
      <c r="C557" s="19">
        <v>42129</v>
      </c>
      <c r="D557" s="20">
        <v>30.379200000000001</v>
      </c>
      <c r="F557" s="43"/>
    </row>
    <row r="558" spans="1:6" x14ac:dyDescent="0.3">
      <c r="A558" s="19">
        <v>42103</v>
      </c>
      <c r="B558" s="20">
        <v>455.43259999999998</v>
      </c>
      <c r="C558" s="19">
        <v>42130</v>
      </c>
      <c r="D558" s="20">
        <v>30.265000000000001</v>
      </c>
      <c r="F558" s="43"/>
    </row>
    <row r="559" spans="1:6" x14ac:dyDescent="0.3">
      <c r="A559" s="19">
        <v>42104</v>
      </c>
      <c r="B559" s="20">
        <v>456.14080000000001</v>
      </c>
      <c r="C559" s="19">
        <v>42131</v>
      </c>
      <c r="D559" s="20">
        <v>30.1433</v>
      </c>
      <c r="F559" s="43"/>
    </row>
    <row r="560" spans="1:6" x14ac:dyDescent="0.3">
      <c r="A560" s="19">
        <v>42107</v>
      </c>
      <c r="B560" s="20">
        <v>457.74579999999997</v>
      </c>
      <c r="C560" s="19">
        <v>42132</v>
      </c>
      <c r="D560" s="20">
        <v>30.084</v>
      </c>
      <c r="F560" s="43"/>
    </row>
    <row r="561" spans="1:6" x14ac:dyDescent="0.3">
      <c r="A561" s="19">
        <v>42109</v>
      </c>
      <c r="B561" s="20">
        <v>455.31420000000003</v>
      </c>
      <c r="C561" s="19">
        <v>42135</v>
      </c>
      <c r="D561" s="20">
        <v>30.1995</v>
      </c>
      <c r="F561" s="43"/>
    </row>
    <row r="562" spans="1:6" x14ac:dyDescent="0.3">
      <c r="A562" s="19">
        <v>42110</v>
      </c>
      <c r="B562" s="20">
        <v>453.68349999999998</v>
      </c>
      <c r="C562" s="19">
        <v>42136</v>
      </c>
      <c r="D562" s="20">
        <v>30.113199999999999</v>
      </c>
      <c r="F562" s="43"/>
    </row>
    <row r="563" spans="1:6" x14ac:dyDescent="0.3">
      <c r="A563" s="19">
        <v>42111</v>
      </c>
      <c r="B563" s="20">
        <v>446.71929999999998</v>
      </c>
      <c r="C563" s="19">
        <v>42137</v>
      </c>
      <c r="D563" s="20">
        <v>30.078600000000002</v>
      </c>
      <c r="F563" s="43"/>
    </row>
    <row r="564" spans="1:6" x14ac:dyDescent="0.3">
      <c r="A564" s="19">
        <v>42114</v>
      </c>
      <c r="B564" s="20">
        <v>438.315</v>
      </c>
      <c r="C564" s="19">
        <v>42138</v>
      </c>
      <c r="D564" s="20">
        <v>30.0991</v>
      </c>
      <c r="F564" s="43"/>
    </row>
    <row r="565" spans="1:6" x14ac:dyDescent="0.3">
      <c r="A565" s="19">
        <v>42115</v>
      </c>
      <c r="B565" s="20">
        <v>435.31619999999998</v>
      </c>
      <c r="C565" s="19">
        <v>42139</v>
      </c>
      <c r="D565" s="20">
        <v>30.0703</v>
      </c>
      <c r="F565" s="43"/>
    </row>
    <row r="566" spans="1:6" x14ac:dyDescent="0.3">
      <c r="A566" s="19">
        <v>42116</v>
      </c>
      <c r="B566" s="20">
        <v>436.73410000000001</v>
      </c>
      <c r="C566" s="19">
        <v>42142</v>
      </c>
      <c r="D566" s="20">
        <v>30.1279</v>
      </c>
      <c r="F566" s="43"/>
    </row>
    <row r="567" spans="1:6" x14ac:dyDescent="0.3">
      <c r="A567" s="19">
        <v>42117</v>
      </c>
      <c r="B567" s="20">
        <v>436.81670000000003</v>
      </c>
      <c r="C567" s="19">
        <v>42143</v>
      </c>
      <c r="D567" s="20">
        <v>30.277699999999999</v>
      </c>
      <c r="F567" s="43"/>
    </row>
    <row r="568" spans="1:6" x14ac:dyDescent="0.3">
      <c r="A568" s="19">
        <v>42118</v>
      </c>
      <c r="B568" s="20">
        <v>430.44310000000002</v>
      </c>
      <c r="C568" s="19">
        <v>42144</v>
      </c>
      <c r="D568" s="20">
        <v>30.322099999999999</v>
      </c>
      <c r="F568" s="43"/>
    </row>
    <row r="569" spans="1:6" x14ac:dyDescent="0.3">
      <c r="A569" s="19">
        <v>42121</v>
      </c>
      <c r="B569" s="20">
        <v>423.6044</v>
      </c>
      <c r="C569" s="19">
        <v>42145</v>
      </c>
      <c r="D569" s="20">
        <v>30.321400000000001</v>
      </c>
      <c r="F569" s="43"/>
    </row>
    <row r="570" spans="1:6" x14ac:dyDescent="0.3">
      <c r="A570" s="19">
        <v>42122</v>
      </c>
      <c r="B570" s="20">
        <v>427.97309999999999</v>
      </c>
      <c r="C570" s="19">
        <v>42146</v>
      </c>
      <c r="D570" s="20">
        <v>30.351400000000002</v>
      </c>
      <c r="F570" s="43"/>
    </row>
    <row r="571" spans="1:6" x14ac:dyDescent="0.3">
      <c r="A571" s="19">
        <v>42123</v>
      </c>
      <c r="B571" s="20">
        <v>428.33949999999999</v>
      </c>
      <c r="C571" s="19">
        <v>42149</v>
      </c>
      <c r="D571" s="20">
        <v>30.349599999999999</v>
      </c>
      <c r="F571" s="43"/>
    </row>
    <row r="572" spans="1:6" x14ac:dyDescent="0.3">
      <c r="A572" s="19">
        <v>42123</v>
      </c>
      <c r="B572" s="20">
        <v>429.35140000000001</v>
      </c>
      <c r="C572" s="19">
        <v>42150</v>
      </c>
      <c r="D572" s="20">
        <v>30.3233</v>
      </c>
      <c r="F572" s="43"/>
    </row>
    <row r="573" spans="1:6" x14ac:dyDescent="0.3">
      <c r="A573" s="19">
        <v>42124</v>
      </c>
      <c r="B573" s="20">
        <v>428.33949999999999</v>
      </c>
      <c r="C573" s="19">
        <v>42151</v>
      </c>
      <c r="D573" s="20">
        <v>30.334599999999998</v>
      </c>
      <c r="F573" s="43"/>
    </row>
    <row r="574" spans="1:6" x14ac:dyDescent="0.3">
      <c r="A574" s="19">
        <v>42128</v>
      </c>
      <c r="B574" s="20">
        <v>433.29059999999998</v>
      </c>
      <c r="C574" s="19">
        <v>42152</v>
      </c>
      <c r="D574" s="20">
        <v>30.376200000000001</v>
      </c>
      <c r="F574" s="43"/>
    </row>
    <row r="575" spans="1:6" x14ac:dyDescent="0.3">
      <c r="A575" s="19">
        <v>42129</v>
      </c>
      <c r="B575" s="20">
        <v>433.33710000000002</v>
      </c>
      <c r="C575" s="19">
        <v>42153</v>
      </c>
      <c r="D575" s="20">
        <v>30.420100000000001</v>
      </c>
      <c r="F575" s="43"/>
    </row>
    <row r="576" spans="1:6" x14ac:dyDescent="0.3">
      <c r="A576" s="19">
        <v>42130</v>
      </c>
      <c r="B576" s="20">
        <v>422.57780000000002</v>
      </c>
      <c r="C576" s="19">
        <v>42156</v>
      </c>
      <c r="D576" s="20">
        <v>30.408899999999999</v>
      </c>
      <c r="F576" s="43"/>
    </row>
    <row r="577" spans="1:6" x14ac:dyDescent="0.3">
      <c r="A577" s="19">
        <v>42131</v>
      </c>
      <c r="B577" s="20">
        <v>419.29820000000001</v>
      </c>
      <c r="C577" s="19">
        <v>42157</v>
      </c>
      <c r="D577" s="20">
        <v>30.198499999999999</v>
      </c>
      <c r="F577" s="43"/>
    </row>
    <row r="578" spans="1:6" x14ac:dyDescent="0.3">
      <c r="A578" s="19">
        <v>42132</v>
      </c>
      <c r="B578" s="20">
        <v>425.6336</v>
      </c>
      <c r="C578" s="19">
        <v>42158</v>
      </c>
      <c r="D578" s="20">
        <v>30.130099999999999</v>
      </c>
      <c r="F578" s="43"/>
    </row>
    <row r="579" spans="1:6" x14ac:dyDescent="0.3">
      <c r="A579" s="19">
        <v>42135</v>
      </c>
      <c r="B579" s="20">
        <v>431.7783</v>
      </c>
      <c r="C579" s="19">
        <v>42159</v>
      </c>
      <c r="D579" s="20">
        <v>30.007200000000001</v>
      </c>
      <c r="F579" s="43"/>
    </row>
    <row r="580" spans="1:6" x14ac:dyDescent="0.3">
      <c r="A580" s="19">
        <v>42136</v>
      </c>
      <c r="B580" s="20">
        <v>425.74579999999997</v>
      </c>
      <c r="C580" s="19">
        <v>42160</v>
      </c>
      <c r="D580" s="20">
        <v>30.008800000000001</v>
      </c>
      <c r="F580" s="43"/>
    </row>
    <row r="581" spans="1:6" x14ac:dyDescent="0.3">
      <c r="A581" s="19">
        <v>42137</v>
      </c>
      <c r="B581" s="20">
        <v>430.92500000000001</v>
      </c>
      <c r="C581" s="19">
        <v>42163</v>
      </c>
      <c r="D581" s="20">
        <v>29.984200000000001</v>
      </c>
      <c r="F581" s="43"/>
    </row>
    <row r="582" spans="1:6" x14ac:dyDescent="0.3">
      <c r="A582" s="19">
        <v>42138</v>
      </c>
      <c r="B582" s="20">
        <v>432.04950000000002</v>
      </c>
      <c r="C582" s="19">
        <v>42164</v>
      </c>
      <c r="D582" s="20">
        <v>30.026499999999999</v>
      </c>
      <c r="F582" s="43"/>
    </row>
    <row r="583" spans="1:6" x14ac:dyDescent="0.3">
      <c r="A583" s="19">
        <v>42139</v>
      </c>
      <c r="B583" s="20">
        <v>434.52480000000003</v>
      </c>
      <c r="C583" s="19">
        <v>42165</v>
      </c>
      <c r="D583" s="20">
        <v>29.9665</v>
      </c>
      <c r="F583" s="43"/>
    </row>
    <row r="584" spans="1:6" x14ac:dyDescent="0.3">
      <c r="A584" s="19">
        <v>42142</v>
      </c>
      <c r="B584" s="20">
        <v>438.97320000000002</v>
      </c>
      <c r="C584" s="19">
        <v>42166</v>
      </c>
      <c r="D584" s="20">
        <v>29.864599999999999</v>
      </c>
      <c r="F584" s="43"/>
    </row>
    <row r="585" spans="1:6" x14ac:dyDescent="0.3">
      <c r="A585" s="19">
        <v>42143</v>
      </c>
      <c r="B585" s="20">
        <v>439.93650000000002</v>
      </c>
      <c r="C585" s="19">
        <v>42167</v>
      </c>
      <c r="D585" s="20">
        <v>29.826599999999999</v>
      </c>
      <c r="F585" s="43"/>
    </row>
    <row r="586" spans="1:6" x14ac:dyDescent="0.3">
      <c r="A586" s="19">
        <v>42144</v>
      </c>
      <c r="B586" s="20">
        <v>441.55520000000001</v>
      </c>
      <c r="C586" s="19">
        <v>42170</v>
      </c>
      <c r="D586" s="20">
        <v>29.875900000000001</v>
      </c>
      <c r="F586" s="43"/>
    </row>
    <row r="587" spans="1:6" x14ac:dyDescent="0.3">
      <c r="A587" s="19">
        <v>42145</v>
      </c>
      <c r="B587" s="20">
        <v>440.73250000000002</v>
      </c>
      <c r="C587" s="19">
        <v>42171</v>
      </c>
      <c r="D587" s="20">
        <v>29.851199999999999</v>
      </c>
      <c r="F587" s="43"/>
    </row>
    <row r="588" spans="1:6" x14ac:dyDescent="0.3">
      <c r="A588" s="19">
        <v>42146</v>
      </c>
      <c r="B588" s="20">
        <v>441.28680000000003</v>
      </c>
      <c r="C588" s="19">
        <v>42172</v>
      </c>
      <c r="D588" s="20">
        <v>29.940200000000001</v>
      </c>
      <c r="F588" s="43"/>
    </row>
    <row r="589" spans="1:6" x14ac:dyDescent="0.3">
      <c r="A589" s="19">
        <v>42149</v>
      </c>
      <c r="B589" s="20">
        <v>440.54820000000001</v>
      </c>
      <c r="C589" s="19">
        <v>42173</v>
      </c>
      <c r="D589" s="20">
        <v>30.1477</v>
      </c>
      <c r="F589" s="43"/>
    </row>
    <row r="590" spans="1:6" x14ac:dyDescent="0.3">
      <c r="A590" s="19">
        <v>42150</v>
      </c>
      <c r="B590" s="20">
        <v>439.9332</v>
      </c>
      <c r="C590" s="19">
        <v>42174</v>
      </c>
      <c r="D590" s="20">
        <v>30.308299999999999</v>
      </c>
      <c r="F590" s="43"/>
    </row>
    <row r="591" spans="1:6" x14ac:dyDescent="0.3">
      <c r="A591" s="19">
        <v>42151</v>
      </c>
      <c r="B591" s="20">
        <v>439.68419999999998</v>
      </c>
      <c r="C591" s="19">
        <v>42177</v>
      </c>
      <c r="D591" s="20">
        <v>30.2912</v>
      </c>
      <c r="F591" s="43"/>
    </row>
    <row r="592" spans="1:6" x14ac:dyDescent="0.3">
      <c r="A592" s="19">
        <v>42152</v>
      </c>
      <c r="B592" s="20">
        <v>438.846</v>
      </c>
      <c r="C592" s="19">
        <v>42178</v>
      </c>
      <c r="D592" s="20">
        <v>30.263100000000001</v>
      </c>
      <c r="F592" s="43"/>
    </row>
    <row r="593" spans="1:6" x14ac:dyDescent="0.3">
      <c r="A593" s="19">
        <v>42153</v>
      </c>
      <c r="B593" s="20">
        <v>446.07819999999998</v>
      </c>
      <c r="C593" s="19">
        <v>42179</v>
      </c>
      <c r="D593" s="20">
        <v>30.218499999999999</v>
      </c>
      <c r="F593" s="43"/>
    </row>
    <row r="594" spans="1:6" x14ac:dyDescent="0.3">
      <c r="A594" s="19">
        <v>42156</v>
      </c>
      <c r="B594" s="20">
        <v>445.08920000000001</v>
      </c>
      <c r="C594" s="19">
        <v>42180</v>
      </c>
      <c r="D594" s="20">
        <v>30.0945</v>
      </c>
      <c r="F594" s="43"/>
    </row>
    <row r="595" spans="1:6" x14ac:dyDescent="0.3">
      <c r="A595" s="19">
        <v>42157</v>
      </c>
      <c r="B595" s="20">
        <v>437.11630000000002</v>
      </c>
      <c r="C595" s="19">
        <v>42181</v>
      </c>
      <c r="D595" s="20">
        <v>30.055700000000002</v>
      </c>
      <c r="F595" s="43"/>
    </row>
    <row r="596" spans="1:6" x14ac:dyDescent="0.3">
      <c r="A596" s="19">
        <v>42158</v>
      </c>
      <c r="B596" s="20">
        <v>433.6293</v>
      </c>
      <c r="C596" s="19">
        <v>42184</v>
      </c>
      <c r="D596" s="20">
        <v>29.985499999999998</v>
      </c>
      <c r="F596" s="43"/>
    </row>
    <row r="597" spans="1:6" x14ac:dyDescent="0.3">
      <c r="A597" s="19">
        <v>42159</v>
      </c>
      <c r="B597" s="20">
        <v>433.94150000000002</v>
      </c>
      <c r="C597" s="19">
        <v>42185</v>
      </c>
      <c r="D597" s="20">
        <v>30.077200000000001</v>
      </c>
      <c r="F597" s="43"/>
    </row>
    <row r="598" spans="1:6" x14ac:dyDescent="0.3">
      <c r="A598" s="19">
        <v>42160</v>
      </c>
      <c r="B598" s="20">
        <v>432.68340000000001</v>
      </c>
      <c r="C598" s="19">
        <v>42186</v>
      </c>
      <c r="D598" s="20">
        <v>30.173400000000001</v>
      </c>
      <c r="F598" s="43"/>
    </row>
    <row r="599" spans="1:6" x14ac:dyDescent="0.3">
      <c r="A599" s="19">
        <v>42163</v>
      </c>
      <c r="B599" s="20">
        <v>429.19740000000002</v>
      </c>
      <c r="C599" s="19">
        <v>42187</v>
      </c>
      <c r="D599" s="20">
        <v>30.225300000000001</v>
      </c>
      <c r="F599" s="43"/>
    </row>
    <row r="600" spans="1:6" x14ac:dyDescent="0.3">
      <c r="A600" s="19">
        <v>42164</v>
      </c>
      <c r="B600" s="20">
        <v>427.00439999999998</v>
      </c>
      <c r="C600" s="19">
        <v>42188</v>
      </c>
      <c r="D600" s="20">
        <v>30.260300000000001</v>
      </c>
      <c r="F600" s="43"/>
    </row>
    <row r="601" spans="1:6" x14ac:dyDescent="0.3">
      <c r="A601" s="19">
        <v>42165</v>
      </c>
      <c r="B601" s="20">
        <v>432.08769999999998</v>
      </c>
      <c r="C601" s="19">
        <v>42191</v>
      </c>
      <c r="D601" s="20">
        <v>30.4057</v>
      </c>
      <c r="F601" s="43"/>
    </row>
    <row r="602" spans="1:6" x14ac:dyDescent="0.3">
      <c r="A602" s="19">
        <v>42166</v>
      </c>
      <c r="B602" s="20">
        <v>425.32380000000001</v>
      </c>
      <c r="C602" s="19">
        <v>42192</v>
      </c>
      <c r="D602" s="20">
        <v>30.3841</v>
      </c>
      <c r="F602" s="43"/>
    </row>
    <row r="603" spans="1:6" x14ac:dyDescent="0.3">
      <c r="A603" s="19">
        <v>42167</v>
      </c>
      <c r="B603" s="20">
        <v>425.90940000000001</v>
      </c>
      <c r="C603" s="19">
        <v>42193</v>
      </c>
      <c r="D603" s="20">
        <v>30.4024</v>
      </c>
      <c r="F603" s="43"/>
    </row>
    <row r="604" spans="1:6" x14ac:dyDescent="0.3">
      <c r="A604" s="19">
        <v>42170</v>
      </c>
      <c r="B604" s="20">
        <v>426.2765</v>
      </c>
      <c r="C604" s="19">
        <v>42194</v>
      </c>
      <c r="D604" s="20">
        <v>30.387699999999999</v>
      </c>
      <c r="F604" s="43"/>
    </row>
    <row r="605" spans="1:6" x14ac:dyDescent="0.3">
      <c r="A605" s="19">
        <v>42171</v>
      </c>
      <c r="B605" s="20">
        <v>427.63560000000001</v>
      </c>
      <c r="C605" s="19">
        <v>42195</v>
      </c>
      <c r="D605" s="20">
        <v>30.370100000000001</v>
      </c>
      <c r="F605" s="43"/>
    </row>
    <row r="606" spans="1:6" x14ac:dyDescent="0.3">
      <c r="A606" s="19">
        <v>42172</v>
      </c>
      <c r="B606" s="20">
        <v>431.23950000000002</v>
      </c>
      <c r="C606" s="19">
        <v>42198</v>
      </c>
      <c r="D606" s="20">
        <v>30.224299999999999</v>
      </c>
      <c r="F606" s="43"/>
    </row>
    <row r="607" spans="1:6" x14ac:dyDescent="0.3">
      <c r="A607" s="19">
        <v>42173</v>
      </c>
      <c r="B607" s="20">
        <v>435.25240000000002</v>
      </c>
      <c r="C607" s="19">
        <v>42199</v>
      </c>
      <c r="D607" s="20">
        <v>30.295500000000001</v>
      </c>
      <c r="F607" s="43"/>
    </row>
    <row r="608" spans="1:6" x14ac:dyDescent="0.3">
      <c r="A608" s="19">
        <v>42174</v>
      </c>
      <c r="B608" s="20">
        <v>436.84780000000001</v>
      </c>
      <c r="C608" s="19">
        <v>42200</v>
      </c>
      <c r="D608" s="20">
        <v>30.294599999999999</v>
      </c>
      <c r="F608" s="43"/>
    </row>
    <row r="609" spans="1:6" x14ac:dyDescent="0.3">
      <c r="A609" s="19">
        <v>42177</v>
      </c>
      <c r="B609" s="20">
        <v>441.3734</v>
      </c>
      <c r="C609" s="19">
        <v>42201</v>
      </c>
      <c r="D609" s="20">
        <v>30.2791</v>
      </c>
      <c r="F609" s="43"/>
    </row>
    <row r="610" spans="1:6" x14ac:dyDescent="0.3">
      <c r="A610" s="19">
        <v>42178</v>
      </c>
      <c r="B610" s="20">
        <v>442.31740000000002</v>
      </c>
      <c r="C610" s="19">
        <v>42202</v>
      </c>
      <c r="D610" s="20">
        <v>30.2987</v>
      </c>
      <c r="F610" s="43"/>
    </row>
    <row r="611" spans="1:6" x14ac:dyDescent="0.3">
      <c r="A611" s="19">
        <v>42179</v>
      </c>
      <c r="B611" s="20">
        <v>441.66730000000001</v>
      </c>
      <c r="C611" s="19">
        <v>42205</v>
      </c>
      <c r="D611" s="20">
        <v>30.302600000000002</v>
      </c>
      <c r="F611" s="43"/>
    </row>
    <row r="612" spans="1:6" x14ac:dyDescent="0.3">
      <c r="A612" s="19">
        <v>42180</v>
      </c>
      <c r="B612" s="20">
        <v>443.25279999999998</v>
      </c>
      <c r="C612" s="19">
        <v>42206</v>
      </c>
      <c r="D612" s="20">
        <v>30.3047</v>
      </c>
      <c r="F612" s="43"/>
    </row>
    <row r="613" spans="1:6" x14ac:dyDescent="0.3">
      <c r="A613" s="19">
        <v>42181</v>
      </c>
      <c r="B613" s="20">
        <v>443.53899999999999</v>
      </c>
      <c r="C613" s="19">
        <v>42207</v>
      </c>
      <c r="D613" s="20">
        <v>30.327400000000001</v>
      </c>
      <c r="F613" s="43"/>
    </row>
    <row r="614" spans="1:6" x14ac:dyDescent="0.3">
      <c r="A614" s="19">
        <v>42184</v>
      </c>
      <c r="B614" s="20">
        <v>438.7799</v>
      </c>
      <c r="C614" s="19">
        <v>42208</v>
      </c>
      <c r="D614" s="20">
        <v>30.372800000000002</v>
      </c>
      <c r="F614" s="43"/>
    </row>
    <row r="615" spans="1:6" x14ac:dyDescent="0.3">
      <c r="A615" s="19">
        <v>42185</v>
      </c>
      <c r="B615" s="20">
        <v>441.7124</v>
      </c>
      <c r="C615" s="19">
        <v>42209</v>
      </c>
      <c r="D615" s="20">
        <v>30.3628</v>
      </c>
      <c r="F615" s="43"/>
    </row>
    <row r="616" spans="1:6" x14ac:dyDescent="0.3">
      <c r="A616" s="19">
        <v>42186</v>
      </c>
      <c r="B616" s="20">
        <v>446.65140000000002</v>
      </c>
      <c r="C616" s="19">
        <v>42212</v>
      </c>
      <c r="D616" s="20">
        <v>30.392199999999999</v>
      </c>
      <c r="F616" s="43"/>
    </row>
    <row r="617" spans="1:6" x14ac:dyDescent="0.3">
      <c r="A617" s="19">
        <v>42187</v>
      </c>
      <c r="B617" s="20">
        <v>447.59399999999999</v>
      </c>
      <c r="C617" s="19">
        <v>42213</v>
      </c>
      <c r="D617" s="20">
        <v>30.502099999999999</v>
      </c>
      <c r="F617" s="43"/>
    </row>
    <row r="618" spans="1:6" x14ac:dyDescent="0.3">
      <c r="A618" s="19">
        <v>42188</v>
      </c>
      <c r="B618" s="20">
        <v>448.49509999999998</v>
      </c>
      <c r="C618" s="19">
        <v>42214</v>
      </c>
      <c r="D618" s="20">
        <v>30.508800000000001</v>
      </c>
      <c r="F618" s="43"/>
    </row>
    <row r="619" spans="1:6" x14ac:dyDescent="0.3">
      <c r="A619" s="19">
        <v>42191</v>
      </c>
      <c r="B619" s="20">
        <v>450.73919999999998</v>
      </c>
      <c r="C619" s="19">
        <v>42215</v>
      </c>
      <c r="D619" s="20">
        <v>30.491599999999998</v>
      </c>
      <c r="F619" s="43"/>
    </row>
    <row r="620" spans="1:6" x14ac:dyDescent="0.3">
      <c r="A620" s="19">
        <v>42192</v>
      </c>
      <c r="B620" s="20">
        <v>451.37849999999997</v>
      </c>
      <c r="C620" s="19">
        <v>42216</v>
      </c>
      <c r="D620" s="20">
        <v>30.5379</v>
      </c>
      <c r="F620" s="43"/>
    </row>
    <row r="621" spans="1:6" x14ac:dyDescent="0.3">
      <c r="A621" s="19">
        <v>42193</v>
      </c>
      <c r="B621" s="20">
        <v>445.60129999999998</v>
      </c>
      <c r="C621" s="19">
        <v>42219</v>
      </c>
      <c r="D621" s="20">
        <v>30.571899999999999</v>
      </c>
      <c r="F621" s="43"/>
    </row>
    <row r="622" spans="1:6" x14ac:dyDescent="0.3">
      <c r="A622" s="19">
        <v>42194</v>
      </c>
      <c r="B622" s="20">
        <v>443.8809</v>
      </c>
      <c r="C622" s="19">
        <v>42220</v>
      </c>
      <c r="D622" s="20">
        <v>30.510899999999999</v>
      </c>
      <c r="F622" s="43"/>
    </row>
    <row r="623" spans="1:6" x14ac:dyDescent="0.3">
      <c r="A623" s="19">
        <v>42195</v>
      </c>
      <c r="B623" s="20">
        <v>445.91840000000002</v>
      </c>
      <c r="C623" s="19">
        <v>42221</v>
      </c>
      <c r="D623" s="20">
        <v>30.5245</v>
      </c>
      <c r="F623" s="43"/>
    </row>
    <row r="624" spans="1:6" x14ac:dyDescent="0.3">
      <c r="A624" s="19">
        <v>42198</v>
      </c>
      <c r="B624" s="20">
        <v>451.02300000000002</v>
      </c>
      <c r="C624" s="19">
        <v>42222</v>
      </c>
      <c r="D624" s="20">
        <v>30.579699999999999</v>
      </c>
      <c r="F624" s="43"/>
    </row>
    <row r="625" spans="1:6" x14ac:dyDescent="0.3">
      <c r="A625" s="19">
        <v>42199</v>
      </c>
      <c r="B625" s="20">
        <v>451.221</v>
      </c>
      <c r="C625" s="19">
        <v>42223</v>
      </c>
      <c r="D625" s="20">
        <v>30.5731</v>
      </c>
      <c r="F625" s="43"/>
    </row>
    <row r="626" spans="1:6" x14ac:dyDescent="0.3">
      <c r="A626" s="19">
        <v>42200</v>
      </c>
      <c r="B626" s="20">
        <v>453.42500000000001</v>
      </c>
      <c r="C626" s="19">
        <v>42226</v>
      </c>
      <c r="D626" s="20">
        <v>30.6188</v>
      </c>
      <c r="F626" s="43"/>
    </row>
    <row r="627" spans="1:6" x14ac:dyDescent="0.3">
      <c r="A627" s="19">
        <v>42201</v>
      </c>
      <c r="B627" s="20">
        <v>457.74450000000002</v>
      </c>
      <c r="C627" s="19">
        <v>42227</v>
      </c>
      <c r="D627" s="20">
        <v>30.606000000000002</v>
      </c>
      <c r="F627" s="43"/>
    </row>
    <row r="628" spans="1:6" x14ac:dyDescent="0.3">
      <c r="A628" s="19">
        <v>42202</v>
      </c>
      <c r="B628" s="20">
        <v>457.93150000000003</v>
      </c>
      <c r="C628" s="19">
        <v>42228</v>
      </c>
      <c r="D628" s="20">
        <v>30.613499999999998</v>
      </c>
      <c r="F628" s="43"/>
    </row>
    <row r="629" spans="1:6" x14ac:dyDescent="0.3">
      <c r="A629" s="19">
        <v>42205</v>
      </c>
      <c r="B629" s="20">
        <v>459.4015</v>
      </c>
      <c r="C629" s="19">
        <v>42229</v>
      </c>
      <c r="D629" s="20">
        <v>30.734100000000002</v>
      </c>
      <c r="F629" s="43"/>
    </row>
    <row r="630" spans="1:6" x14ac:dyDescent="0.3">
      <c r="A630" s="19">
        <v>42206</v>
      </c>
      <c r="B630" s="20">
        <v>456.0772</v>
      </c>
      <c r="C630" s="19">
        <v>42230</v>
      </c>
      <c r="D630" s="20">
        <v>30.793600000000001</v>
      </c>
      <c r="F630" s="43"/>
    </row>
    <row r="631" spans="1:6" x14ac:dyDescent="0.3">
      <c r="A631" s="19">
        <v>42207</v>
      </c>
      <c r="B631" s="20">
        <v>460.2072</v>
      </c>
      <c r="C631" s="19">
        <v>42233</v>
      </c>
      <c r="D631" s="20">
        <v>30.8049</v>
      </c>
      <c r="F631" s="43"/>
    </row>
    <row r="632" spans="1:6" x14ac:dyDescent="0.3">
      <c r="A632" s="19">
        <v>42208</v>
      </c>
      <c r="B632" s="20">
        <v>459.27249999999998</v>
      </c>
      <c r="C632" s="19">
        <v>42235</v>
      </c>
      <c r="D632" s="20">
        <v>30.841999999999999</v>
      </c>
      <c r="F632" s="43"/>
    </row>
    <row r="633" spans="1:6" x14ac:dyDescent="0.3">
      <c r="A633" s="19">
        <v>42209</v>
      </c>
      <c r="B633" s="20">
        <v>456.26589999999999</v>
      </c>
      <c r="C633" s="19">
        <v>42236</v>
      </c>
      <c r="D633" s="20">
        <v>30.841799999999999</v>
      </c>
      <c r="F633" s="43"/>
    </row>
    <row r="634" spans="1:6" x14ac:dyDescent="0.3">
      <c r="A634" s="19">
        <v>42212</v>
      </c>
      <c r="B634" s="20">
        <v>449.1712</v>
      </c>
      <c r="C634" s="19">
        <v>42237</v>
      </c>
      <c r="D634" s="20">
        <v>30.7559</v>
      </c>
      <c r="F634" s="43"/>
    </row>
    <row r="635" spans="1:6" x14ac:dyDescent="0.3">
      <c r="A635" s="19">
        <v>42213</v>
      </c>
      <c r="B635" s="20">
        <v>448.745</v>
      </c>
      <c r="C635" s="19">
        <v>42240</v>
      </c>
      <c r="D635" s="20">
        <v>30.571899999999999</v>
      </c>
      <c r="F635" s="43"/>
    </row>
    <row r="636" spans="1:6" x14ac:dyDescent="0.3">
      <c r="A636" s="19">
        <v>42214</v>
      </c>
      <c r="B636" s="20">
        <v>452.58030000000002</v>
      </c>
      <c r="C636" s="19">
        <v>42241</v>
      </c>
      <c r="D636" s="20">
        <v>30.7224</v>
      </c>
      <c r="F636" s="43"/>
    </row>
    <row r="637" spans="1:6" x14ac:dyDescent="0.3">
      <c r="A637" s="19">
        <v>42215</v>
      </c>
      <c r="B637" s="20">
        <v>455.49590000000001</v>
      </c>
      <c r="C637" s="19">
        <v>42242</v>
      </c>
      <c r="D637" s="20">
        <v>30.780899999999999</v>
      </c>
      <c r="F637" s="43"/>
    </row>
    <row r="638" spans="1:6" x14ac:dyDescent="0.3">
      <c r="A638" s="19">
        <v>42216</v>
      </c>
      <c r="B638" s="20">
        <v>459.46449999999999</v>
      </c>
      <c r="C638" s="19">
        <v>42243</v>
      </c>
      <c r="D638" s="20">
        <v>30.841699999999999</v>
      </c>
      <c r="F638" s="43"/>
    </row>
    <row r="639" spans="1:6" x14ac:dyDescent="0.3">
      <c r="A639" s="19">
        <v>42219</v>
      </c>
      <c r="B639" s="20">
        <v>459.75510000000003</v>
      </c>
      <c r="C639" s="19">
        <v>42244</v>
      </c>
      <c r="D639" s="20">
        <v>30.8249</v>
      </c>
      <c r="F639" s="43"/>
    </row>
    <row r="640" spans="1:6" x14ac:dyDescent="0.3">
      <c r="A640" s="19">
        <v>42220</v>
      </c>
      <c r="B640" s="20">
        <v>460.2534</v>
      </c>
      <c r="C640" s="19">
        <v>42247</v>
      </c>
      <c r="D640" s="20">
        <v>30.819600000000001</v>
      </c>
      <c r="F640" s="43"/>
    </row>
    <row r="641" spans="1:6" x14ac:dyDescent="0.3">
      <c r="A641" s="19">
        <v>42221</v>
      </c>
      <c r="B641" s="20">
        <v>462.85879999999997</v>
      </c>
      <c r="C641" s="19">
        <v>42248</v>
      </c>
      <c r="D641" s="20">
        <v>30.902999999999999</v>
      </c>
      <c r="F641" s="43"/>
    </row>
    <row r="642" spans="1:6" x14ac:dyDescent="0.3">
      <c r="A642" s="19">
        <v>42222</v>
      </c>
      <c r="B642" s="20">
        <v>465.27690000000001</v>
      </c>
      <c r="C642" s="19">
        <v>42249</v>
      </c>
      <c r="D642" s="20">
        <v>30.923100000000002</v>
      </c>
      <c r="F642" s="43"/>
    </row>
    <row r="643" spans="1:6" x14ac:dyDescent="0.3">
      <c r="A643" s="19">
        <v>42223</v>
      </c>
      <c r="B643" s="20">
        <v>465.66969999999998</v>
      </c>
      <c r="C643" s="19">
        <v>42250</v>
      </c>
      <c r="D643" s="20">
        <v>30.929300000000001</v>
      </c>
      <c r="F643" s="43"/>
    </row>
    <row r="644" spans="1:6" x14ac:dyDescent="0.3">
      <c r="A644" s="19">
        <v>42226</v>
      </c>
      <c r="B644" s="20">
        <v>463.92340000000002</v>
      </c>
      <c r="C644" s="19">
        <v>42251</v>
      </c>
      <c r="D644" s="20">
        <v>30.890799999999999</v>
      </c>
      <c r="F644" s="43"/>
    </row>
    <row r="645" spans="1:6" x14ac:dyDescent="0.3">
      <c r="A645" s="19">
        <v>42227</v>
      </c>
      <c r="B645" s="20">
        <v>460.56830000000002</v>
      </c>
      <c r="C645" s="19">
        <v>42254</v>
      </c>
      <c r="D645" s="20">
        <v>30.834199999999999</v>
      </c>
      <c r="F645" s="43"/>
    </row>
    <row r="646" spans="1:6" x14ac:dyDescent="0.3">
      <c r="A646" s="19">
        <v>42228</v>
      </c>
      <c r="B646" s="20">
        <v>454.71890000000002</v>
      </c>
      <c r="C646" s="19">
        <v>42255</v>
      </c>
      <c r="D646" s="20">
        <v>30.9039</v>
      </c>
      <c r="F646" s="43"/>
    </row>
    <row r="647" spans="1:6" x14ac:dyDescent="0.3">
      <c r="A647" s="19">
        <v>42229</v>
      </c>
      <c r="B647" s="20">
        <v>454.44549999999998</v>
      </c>
      <c r="C647" s="19">
        <v>42256</v>
      </c>
      <c r="D647" s="20">
        <v>30.932300000000001</v>
      </c>
      <c r="F647" s="43"/>
    </row>
    <row r="648" spans="1:6" x14ac:dyDescent="0.3">
      <c r="A648" s="19">
        <v>42230</v>
      </c>
      <c r="B648" s="20">
        <v>462.08550000000002</v>
      </c>
      <c r="C648" s="19">
        <v>42257</v>
      </c>
      <c r="D648" s="20">
        <v>30.901900000000001</v>
      </c>
      <c r="F648" s="43"/>
    </row>
    <row r="649" spans="1:6" x14ac:dyDescent="0.3">
      <c r="A649" s="19">
        <v>42233</v>
      </c>
      <c r="B649" s="20">
        <v>461.72460000000001</v>
      </c>
      <c r="C649" s="19">
        <v>42258</v>
      </c>
      <c r="D649" s="20">
        <v>30.918800000000001</v>
      </c>
      <c r="F649" s="43"/>
    </row>
    <row r="650" spans="1:6" x14ac:dyDescent="0.3">
      <c r="A650" s="19">
        <v>42234</v>
      </c>
      <c r="B650" s="20">
        <v>462.71359999999999</v>
      </c>
      <c r="C650" s="19">
        <v>42261</v>
      </c>
      <c r="D650" s="20">
        <v>30.973199999999999</v>
      </c>
      <c r="F650" s="43"/>
    </row>
    <row r="651" spans="1:6" x14ac:dyDescent="0.3">
      <c r="A651" s="19">
        <v>42235</v>
      </c>
      <c r="B651" s="20">
        <v>463.64060000000001</v>
      </c>
      <c r="C651" s="19">
        <v>42262</v>
      </c>
      <c r="D651" s="20">
        <v>30.977399999999999</v>
      </c>
      <c r="F651" s="43"/>
    </row>
    <row r="652" spans="1:6" x14ac:dyDescent="0.3">
      <c r="A652" s="19">
        <v>42236</v>
      </c>
      <c r="B652" s="20">
        <v>456.10399999999998</v>
      </c>
      <c r="C652" s="19">
        <v>42263</v>
      </c>
      <c r="D652" s="20">
        <v>31.009899999999998</v>
      </c>
      <c r="F652" s="43"/>
    </row>
    <row r="653" spans="1:6" x14ac:dyDescent="0.3">
      <c r="A653" s="19">
        <v>42237</v>
      </c>
      <c r="B653" s="20">
        <v>452.63409999999999</v>
      </c>
      <c r="C653" s="19">
        <v>42265</v>
      </c>
      <c r="D653" s="20">
        <v>31.183499999999999</v>
      </c>
      <c r="F653" s="43"/>
    </row>
    <row r="654" spans="1:6" x14ac:dyDescent="0.3">
      <c r="A654" s="19">
        <v>42240</v>
      </c>
      <c r="B654" s="20">
        <v>427.37759999999997</v>
      </c>
      <c r="C654" s="19">
        <v>42268</v>
      </c>
      <c r="D654" s="20">
        <v>31.201899999999998</v>
      </c>
      <c r="F654" s="43"/>
    </row>
    <row r="655" spans="1:6" x14ac:dyDescent="0.3">
      <c r="A655" s="19">
        <v>42241</v>
      </c>
      <c r="B655" s="20">
        <v>434.0068</v>
      </c>
      <c r="C655" s="19">
        <v>42269</v>
      </c>
      <c r="D655" s="20">
        <v>31.1633</v>
      </c>
      <c r="F655" s="43"/>
    </row>
    <row r="656" spans="1:6" x14ac:dyDescent="0.3">
      <c r="A656" s="19">
        <v>42242</v>
      </c>
      <c r="B656" s="20">
        <v>430.09710000000001</v>
      </c>
      <c r="C656" s="19">
        <v>42270</v>
      </c>
      <c r="D656" s="20">
        <v>31.158100000000001</v>
      </c>
      <c r="F656" s="43"/>
    </row>
    <row r="657" spans="1:6" x14ac:dyDescent="0.3">
      <c r="A657" s="19">
        <v>42243</v>
      </c>
      <c r="B657" s="20">
        <v>436.9067</v>
      </c>
      <c r="C657" s="19">
        <v>42271</v>
      </c>
      <c r="D657" s="20">
        <v>31.1599</v>
      </c>
      <c r="F657" s="43"/>
    </row>
    <row r="658" spans="1:6" x14ac:dyDescent="0.3">
      <c r="A658" s="19">
        <v>42244</v>
      </c>
      <c r="B658" s="20">
        <v>438.83629999999999</v>
      </c>
      <c r="C658" s="19">
        <v>42275</v>
      </c>
      <c r="D658" s="20">
        <v>31.154199999999999</v>
      </c>
      <c r="F658" s="43"/>
    </row>
    <row r="659" spans="1:6" x14ac:dyDescent="0.3">
      <c r="A659" s="19">
        <v>42247</v>
      </c>
      <c r="B659" s="20">
        <v>437.13209999999998</v>
      </c>
      <c r="C659" s="19">
        <v>42276</v>
      </c>
      <c r="D659" s="20">
        <v>31.3992</v>
      </c>
      <c r="F659" s="43"/>
    </row>
    <row r="660" spans="1:6" x14ac:dyDescent="0.3">
      <c r="A660" s="19">
        <v>42248</v>
      </c>
      <c r="B660" s="20">
        <v>429.16930000000002</v>
      </c>
      <c r="C660" s="19">
        <v>42277</v>
      </c>
      <c r="D660" s="20">
        <v>31.5945</v>
      </c>
      <c r="F660" s="43"/>
    </row>
    <row r="661" spans="1:6" x14ac:dyDescent="0.3">
      <c r="A661" s="19">
        <v>42249</v>
      </c>
      <c r="B661" s="20">
        <v>426.07470000000001</v>
      </c>
      <c r="C661" s="19">
        <v>42278</v>
      </c>
      <c r="D661" s="20">
        <v>31.554400000000001</v>
      </c>
      <c r="F661" s="43"/>
    </row>
    <row r="662" spans="1:6" x14ac:dyDescent="0.3">
      <c r="A662" s="19">
        <v>42250</v>
      </c>
      <c r="B662" s="20">
        <v>430.45299999999997</v>
      </c>
      <c r="C662" s="19">
        <v>42282</v>
      </c>
      <c r="D662" s="20">
        <v>31.6922</v>
      </c>
      <c r="F662" s="43"/>
    </row>
    <row r="663" spans="1:6" x14ac:dyDescent="0.3">
      <c r="A663" s="19">
        <v>42251</v>
      </c>
      <c r="B663" s="20">
        <v>423.2321</v>
      </c>
      <c r="C663" s="19">
        <v>42283</v>
      </c>
      <c r="D663" s="20">
        <v>31.666699999999999</v>
      </c>
      <c r="F663" s="43"/>
    </row>
    <row r="664" spans="1:6" x14ac:dyDescent="0.3">
      <c r="A664" s="19">
        <v>42254</v>
      </c>
      <c r="B664" s="20">
        <v>417.56900000000002</v>
      </c>
      <c r="C664" s="19">
        <v>42284</v>
      </c>
      <c r="D664" s="20">
        <v>31.634799999999998</v>
      </c>
      <c r="F664" s="43"/>
    </row>
    <row r="665" spans="1:6" x14ac:dyDescent="0.3">
      <c r="A665" s="19">
        <v>42255</v>
      </c>
      <c r="B665" s="20">
        <v>422.45260000000002</v>
      </c>
      <c r="C665" s="19">
        <v>42285</v>
      </c>
      <c r="D665" s="20">
        <v>31.664999999999999</v>
      </c>
      <c r="F665" s="43"/>
    </row>
    <row r="666" spans="1:6" x14ac:dyDescent="0.3">
      <c r="A666" s="19">
        <v>42256</v>
      </c>
      <c r="B666" s="20">
        <v>429.16980000000001</v>
      </c>
      <c r="C666" s="19">
        <v>42286</v>
      </c>
      <c r="D666" s="20">
        <v>31.675799999999999</v>
      </c>
      <c r="F666" s="43"/>
    </row>
    <row r="667" spans="1:6" x14ac:dyDescent="0.3">
      <c r="A667" s="19">
        <v>42257</v>
      </c>
      <c r="B667" s="20">
        <v>428.00349999999997</v>
      </c>
      <c r="C667" s="19">
        <v>42289</v>
      </c>
      <c r="D667" s="20">
        <v>31.583400000000001</v>
      </c>
      <c r="F667" s="43"/>
    </row>
    <row r="668" spans="1:6" x14ac:dyDescent="0.3">
      <c r="A668" s="19">
        <v>42258</v>
      </c>
      <c r="B668" s="20">
        <v>428.57069999999999</v>
      </c>
      <c r="C668" s="19">
        <v>42290</v>
      </c>
      <c r="D668" s="20">
        <v>31.605799999999999</v>
      </c>
      <c r="F668" s="43"/>
    </row>
    <row r="669" spans="1:6" x14ac:dyDescent="0.3">
      <c r="A669" s="19">
        <v>42261</v>
      </c>
      <c r="B669" s="20">
        <v>432.56529999999998</v>
      </c>
      <c r="C669" s="19">
        <v>42291</v>
      </c>
      <c r="D669" s="20">
        <v>31.623899999999999</v>
      </c>
      <c r="F669" s="43"/>
    </row>
    <row r="670" spans="1:6" x14ac:dyDescent="0.3">
      <c r="A670" s="19">
        <v>42262</v>
      </c>
      <c r="B670" s="20">
        <v>430.45359999999999</v>
      </c>
      <c r="C670" s="19">
        <v>42292</v>
      </c>
      <c r="D670" s="20">
        <v>31.654699999999998</v>
      </c>
      <c r="F670" s="43"/>
    </row>
    <row r="671" spans="1:6" x14ac:dyDescent="0.3">
      <c r="A671" s="19">
        <v>42263</v>
      </c>
      <c r="B671" s="20">
        <v>432.98520000000002</v>
      </c>
      <c r="C671" s="19">
        <v>42293</v>
      </c>
      <c r="D671" s="20">
        <v>31.659700000000001</v>
      </c>
      <c r="F671" s="43"/>
    </row>
    <row r="672" spans="1:6" x14ac:dyDescent="0.3">
      <c r="A672" s="19">
        <v>42265</v>
      </c>
      <c r="B672" s="20">
        <v>437.71510000000001</v>
      </c>
      <c r="C672" s="19">
        <v>42296</v>
      </c>
      <c r="D672" s="20">
        <v>31.651499999999999</v>
      </c>
      <c r="F672" s="43"/>
    </row>
    <row r="673" spans="1:6" x14ac:dyDescent="0.3">
      <c r="A673" s="19">
        <v>42268</v>
      </c>
      <c r="B673" s="20">
        <v>438.79360000000003</v>
      </c>
      <c r="C673" s="19">
        <v>42297</v>
      </c>
      <c r="D673" s="20">
        <v>31.659400000000002</v>
      </c>
      <c r="F673" s="43"/>
    </row>
    <row r="674" spans="1:6" x14ac:dyDescent="0.3">
      <c r="A674" s="19">
        <v>42269</v>
      </c>
      <c r="B674" s="20">
        <v>431.49209999999999</v>
      </c>
      <c r="C674" s="19">
        <v>42298</v>
      </c>
      <c r="D674" s="20">
        <v>31.6523</v>
      </c>
      <c r="F674" s="43"/>
    </row>
    <row r="675" spans="1:6" x14ac:dyDescent="0.3">
      <c r="A675" s="19">
        <v>42270</v>
      </c>
      <c r="B675" s="20">
        <v>433.26190000000003</v>
      </c>
      <c r="C675" s="19">
        <v>42300</v>
      </c>
      <c r="D675" s="20">
        <v>31.636399999999998</v>
      </c>
      <c r="F675" s="43"/>
    </row>
    <row r="676" spans="1:6" x14ac:dyDescent="0.3">
      <c r="A676" s="19">
        <v>42271</v>
      </c>
      <c r="B676" s="20">
        <v>434.42950000000002</v>
      </c>
      <c r="C676" s="19">
        <v>42303</v>
      </c>
      <c r="D676" s="20">
        <v>31.586600000000001</v>
      </c>
      <c r="F676" s="43"/>
    </row>
    <row r="677" spans="1:6" x14ac:dyDescent="0.3">
      <c r="A677" s="19">
        <v>42275</v>
      </c>
      <c r="B677" s="20">
        <v>431.51949999999999</v>
      </c>
      <c r="C677" s="19">
        <v>42304</v>
      </c>
      <c r="D677" s="20">
        <v>31.607800000000001</v>
      </c>
      <c r="F677" s="43"/>
    </row>
    <row r="678" spans="1:6" x14ac:dyDescent="0.3">
      <c r="A678" s="19">
        <v>42276</v>
      </c>
      <c r="B678" s="20">
        <v>431.90140000000002</v>
      </c>
      <c r="C678" s="19">
        <v>42305</v>
      </c>
      <c r="D678" s="20">
        <v>31.6402</v>
      </c>
      <c r="F678" s="43"/>
    </row>
    <row r="679" spans="1:6" x14ac:dyDescent="0.3">
      <c r="A679" s="19">
        <v>42277</v>
      </c>
      <c r="B679" s="20">
        <v>437.73500000000001</v>
      </c>
      <c r="C679" s="19">
        <v>42306</v>
      </c>
      <c r="D679" s="20">
        <v>31.582799999999999</v>
      </c>
      <c r="F679" s="43"/>
    </row>
    <row r="680" spans="1:6" x14ac:dyDescent="0.3">
      <c r="A680" s="19">
        <v>42278</v>
      </c>
      <c r="B680" s="20">
        <v>438.25810000000001</v>
      </c>
      <c r="C680" s="19">
        <v>42307</v>
      </c>
      <c r="D680" s="20">
        <v>31.580300000000001</v>
      </c>
      <c r="F680" s="43"/>
    </row>
    <row r="681" spans="1:6" x14ac:dyDescent="0.3">
      <c r="A681" s="19">
        <v>42282</v>
      </c>
      <c r="B681" s="20">
        <v>445.58429999999998</v>
      </c>
      <c r="C681" s="19">
        <v>42310</v>
      </c>
      <c r="D681" s="20">
        <v>31.6402</v>
      </c>
      <c r="F681" s="43"/>
    </row>
    <row r="682" spans="1:6" x14ac:dyDescent="0.3">
      <c r="A682" s="19">
        <v>42283</v>
      </c>
      <c r="B682" s="20">
        <v>446.64940000000001</v>
      </c>
      <c r="C682" s="19">
        <v>42311</v>
      </c>
      <c r="D682" s="20">
        <v>31.6296</v>
      </c>
      <c r="F682" s="43"/>
    </row>
    <row r="683" spans="1:6" x14ac:dyDescent="0.3">
      <c r="A683" s="19">
        <v>42284</v>
      </c>
      <c r="B683" s="20">
        <v>445.52980000000002</v>
      </c>
      <c r="C683" s="19">
        <v>42312</v>
      </c>
      <c r="D683" s="20">
        <v>31.6</v>
      </c>
      <c r="F683" s="43"/>
    </row>
    <row r="684" spans="1:6" x14ac:dyDescent="0.3">
      <c r="A684" s="19">
        <v>42285</v>
      </c>
      <c r="B684" s="20">
        <v>443.7038</v>
      </c>
      <c r="C684" s="19">
        <v>42313</v>
      </c>
      <c r="D684" s="20">
        <v>31.548300000000001</v>
      </c>
      <c r="F684" s="43"/>
    </row>
    <row r="685" spans="1:6" x14ac:dyDescent="0.3">
      <c r="A685" s="19">
        <v>42286</v>
      </c>
      <c r="B685" s="20">
        <v>445.20150000000001</v>
      </c>
      <c r="C685" s="19">
        <v>42314</v>
      </c>
      <c r="D685" s="20">
        <v>31.538499999999999</v>
      </c>
      <c r="F685" s="43"/>
    </row>
    <row r="686" spans="1:6" x14ac:dyDescent="0.3">
      <c r="A686" s="19">
        <v>42289</v>
      </c>
      <c r="B686" s="20">
        <v>444.11989999999997</v>
      </c>
      <c r="C686" s="19">
        <v>42317</v>
      </c>
      <c r="D686" s="20">
        <v>31.441400000000002</v>
      </c>
      <c r="F686" s="43"/>
    </row>
    <row r="687" spans="1:6" x14ac:dyDescent="0.3">
      <c r="A687" s="19">
        <v>42290</v>
      </c>
      <c r="B687" s="20">
        <v>443.30799999999999</v>
      </c>
      <c r="C687" s="19">
        <v>42318</v>
      </c>
      <c r="D687" s="20">
        <v>31.520800000000001</v>
      </c>
      <c r="F687" s="43"/>
    </row>
    <row r="688" spans="1:6" x14ac:dyDescent="0.3">
      <c r="A688" s="19">
        <v>42291</v>
      </c>
      <c r="B688" s="20">
        <v>443.54300000000001</v>
      </c>
      <c r="C688" s="19">
        <v>42321</v>
      </c>
      <c r="D688" s="20">
        <v>31.6068</v>
      </c>
      <c r="F688" s="43"/>
    </row>
    <row r="689" spans="1:6" x14ac:dyDescent="0.3">
      <c r="A689" s="19">
        <v>42292</v>
      </c>
      <c r="B689" s="20">
        <v>446.13810000000001</v>
      </c>
      <c r="C689" s="19">
        <v>42324</v>
      </c>
      <c r="D689" s="20">
        <v>31.588000000000001</v>
      </c>
      <c r="F689" s="43"/>
    </row>
    <row r="690" spans="1:6" x14ac:dyDescent="0.3">
      <c r="A690" s="19">
        <v>42293</v>
      </c>
      <c r="B690" s="20">
        <v>449.27229999999997</v>
      </c>
      <c r="C690" s="19">
        <v>42325</v>
      </c>
      <c r="D690" s="20">
        <v>31.5578</v>
      </c>
      <c r="F690" s="43"/>
    </row>
    <row r="691" spans="1:6" x14ac:dyDescent="0.3">
      <c r="A691" s="19">
        <v>42296</v>
      </c>
      <c r="B691" s="20">
        <v>451.09179999999998</v>
      </c>
      <c r="C691" s="19">
        <v>42326</v>
      </c>
      <c r="D691" s="20">
        <v>31.541899999999998</v>
      </c>
      <c r="F691" s="43"/>
    </row>
    <row r="692" spans="1:6" x14ac:dyDescent="0.3">
      <c r="A692" s="19">
        <v>42297</v>
      </c>
      <c r="B692" s="20">
        <v>450.71980000000002</v>
      </c>
      <c r="C692" s="19">
        <v>42327</v>
      </c>
      <c r="D692" s="20">
        <v>31.547899999999998</v>
      </c>
      <c r="F692" s="43"/>
    </row>
    <row r="693" spans="1:6" x14ac:dyDescent="0.3">
      <c r="A693" s="19">
        <v>42298</v>
      </c>
      <c r="B693" s="20">
        <v>449.89269999999999</v>
      </c>
      <c r="C693" s="19">
        <v>42328</v>
      </c>
      <c r="D693" s="20">
        <v>31.4788</v>
      </c>
      <c r="F693" s="43"/>
    </row>
    <row r="694" spans="1:6" x14ac:dyDescent="0.3">
      <c r="A694" s="19">
        <v>42300</v>
      </c>
      <c r="B694" s="20">
        <v>450.55759999999998</v>
      </c>
      <c r="C694" s="19">
        <v>42331</v>
      </c>
      <c r="D694" s="20">
        <v>31.460699999999999</v>
      </c>
      <c r="F694" s="43"/>
    </row>
    <row r="695" spans="1:6" x14ac:dyDescent="0.3">
      <c r="A695" s="19">
        <v>42303</v>
      </c>
      <c r="B695" s="20">
        <v>448.34410000000003</v>
      </c>
      <c r="C695" s="19">
        <v>42332</v>
      </c>
      <c r="D695" s="20">
        <v>31.509699999999999</v>
      </c>
      <c r="F695" s="43"/>
    </row>
    <row r="696" spans="1:6" x14ac:dyDescent="0.3">
      <c r="A696" s="19">
        <v>42304</v>
      </c>
      <c r="B696" s="20">
        <v>449.50819999999999</v>
      </c>
      <c r="C696" s="19">
        <v>42334</v>
      </c>
      <c r="D696" s="20">
        <v>31.495000000000001</v>
      </c>
      <c r="F696" s="43"/>
    </row>
    <row r="697" spans="1:6" x14ac:dyDescent="0.3">
      <c r="A697" s="19">
        <v>42305</v>
      </c>
      <c r="B697" s="20">
        <v>446.39589999999998</v>
      </c>
      <c r="C697" s="19">
        <v>42335</v>
      </c>
      <c r="D697" s="20">
        <v>31.3947</v>
      </c>
      <c r="F697" s="43"/>
    </row>
    <row r="698" spans="1:6" x14ac:dyDescent="0.3">
      <c r="A698" s="19">
        <v>42306</v>
      </c>
      <c r="B698" s="20">
        <v>443.48399999999998</v>
      </c>
      <c r="C698" s="19">
        <v>42338</v>
      </c>
      <c r="D698" s="20">
        <v>31.363800000000001</v>
      </c>
      <c r="F698" s="43"/>
    </row>
    <row r="699" spans="1:6" x14ac:dyDescent="0.3">
      <c r="A699" s="19">
        <v>42307</v>
      </c>
      <c r="B699" s="20">
        <v>441.26830000000001</v>
      </c>
      <c r="C699" s="19">
        <v>42339</v>
      </c>
      <c r="D699" s="20">
        <v>31.4726</v>
      </c>
      <c r="F699" s="43"/>
    </row>
    <row r="700" spans="1:6" x14ac:dyDescent="0.3">
      <c r="A700" s="19">
        <v>42310</v>
      </c>
      <c r="B700" s="20">
        <v>442.0034</v>
      </c>
      <c r="C700" s="19">
        <v>42340</v>
      </c>
      <c r="D700" s="20">
        <v>31.428000000000001</v>
      </c>
      <c r="F700" s="43"/>
    </row>
    <row r="701" spans="1:6" x14ac:dyDescent="0.3">
      <c r="A701" s="19">
        <v>42311</v>
      </c>
      <c r="B701" s="20">
        <v>443.02859999999998</v>
      </c>
      <c r="C701" s="19">
        <v>42341</v>
      </c>
      <c r="D701" s="20">
        <v>31.508900000000001</v>
      </c>
      <c r="F701" s="43"/>
    </row>
    <row r="702" spans="1:6" x14ac:dyDescent="0.3">
      <c r="A702" s="19">
        <v>42312</v>
      </c>
      <c r="B702" s="20">
        <v>443.18529999999998</v>
      </c>
      <c r="C702" s="19">
        <v>42342</v>
      </c>
      <c r="D702" s="20">
        <v>31.410399999999999</v>
      </c>
      <c r="F702" s="43"/>
    </row>
    <row r="703" spans="1:6" x14ac:dyDescent="0.3">
      <c r="A703" s="19">
        <v>42313</v>
      </c>
      <c r="B703" s="20">
        <v>438.78100000000001</v>
      </c>
      <c r="C703" s="19">
        <v>42345</v>
      </c>
      <c r="D703" s="20">
        <v>31.419499999999999</v>
      </c>
      <c r="F703" s="43"/>
    </row>
    <row r="704" spans="1:6" x14ac:dyDescent="0.3">
      <c r="A704" s="19">
        <v>42314</v>
      </c>
      <c r="B704" s="20">
        <v>436.62290000000002</v>
      </c>
      <c r="C704" s="19">
        <v>42346</v>
      </c>
      <c r="D704" s="20">
        <v>31.360099999999999</v>
      </c>
      <c r="F704" s="43"/>
    </row>
    <row r="705" spans="1:6" x14ac:dyDescent="0.3">
      <c r="A705" s="19">
        <v>42317</v>
      </c>
      <c r="B705" s="20">
        <v>436.06259999999997</v>
      </c>
      <c r="C705" s="19">
        <v>42347</v>
      </c>
      <c r="D705" s="20">
        <v>31.3811</v>
      </c>
      <c r="F705" s="43"/>
    </row>
    <row r="706" spans="1:6" x14ac:dyDescent="0.3">
      <c r="A706" s="19">
        <v>42318</v>
      </c>
      <c r="B706" s="20">
        <v>430.27370000000002</v>
      </c>
      <c r="C706" s="19">
        <v>42348</v>
      </c>
      <c r="D706" s="20">
        <v>31.372900000000001</v>
      </c>
      <c r="F706" s="43"/>
    </row>
    <row r="707" spans="1:6" x14ac:dyDescent="0.3">
      <c r="A707" s="19">
        <v>42321</v>
      </c>
      <c r="B707" s="20">
        <v>430.3313</v>
      </c>
      <c r="C707" s="19">
        <v>42349</v>
      </c>
      <c r="D707" s="20">
        <v>31.404199999999999</v>
      </c>
      <c r="F707" s="43"/>
    </row>
    <row r="708" spans="1:6" x14ac:dyDescent="0.3">
      <c r="A708" s="19">
        <v>42324</v>
      </c>
      <c r="B708" s="20">
        <v>432.00020000000001</v>
      </c>
      <c r="C708" s="19">
        <v>42352</v>
      </c>
      <c r="D708" s="20">
        <v>31.328299999999999</v>
      </c>
      <c r="F708" s="43"/>
    </row>
    <row r="709" spans="1:6" x14ac:dyDescent="0.3">
      <c r="A709" s="19">
        <v>42325</v>
      </c>
      <c r="B709" s="20">
        <v>432.42500000000001</v>
      </c>
      <c r="C709" s="19">
        <v>42353</v>
      </c>
      <c r="D709" s="20">
        <v>31.3626</v>
      </c>
      <c r="F709" s="43"/>
    </row>
    <row r="710" spans="1:6" x14ac:dyDescent="0.3">
      <c r="A710" s="19">
        <v>42326</v>
      </c>
      <c r="B710" s="20">
        <v>429.18049999999999</v>
      </c>
      <c r="C710" s="19">
        <v>42354</v>
      </c>
      <c r="D710" s="20">
        <v>31.464600000000001</v>
      </c>
      <c r="F710" s="43"/>
    </row>
    <row r="711" spans="1:6" x14ac:dyDescent="0.3">
      <c r="A711" s="19">
        <v>42327</v>
      </c>
      <c r="B711" s="20">
        <v>434.51920000000001</v>
      </c>
      <c r="C711" s="19">
        <v>42355</v>
      </c>
      <c r="D711" s="20">
        <v>31.485600000000002</v>
      </c>
      <c r="F711" s="43"/>
    </row>
    <row r="712" spans="1:6" x14ac:dyDescent="0.3">
      <c r="A712" s="19">
        <v>42328</v>
      </c>
      <c r="B712" s="20">
        <v>436.392</v>
      </c>
      <c r="C712" s="19">
        <v>42356</v>
      </c>
      <c r="D712" s="20">
        <v>31.435700000000001</v>
      </c>
      <c r="F712" s="43"/>
    </row>
    <row r="713" spans="1:6" x14ac:dyDescent="0.3">
      <c r="A713" s="19">
        <v>42331</v>
      </c>
      <c r="B713" s="20">
        <v>437.0992</v>
      </c>
      <c r="C713" s="19">
        <v>42359</v>
      </c>
      <c r="D713" s="20">
        <v>31.394400000000001</v>
      </c>
      <c r="F713" s="43"/>
    </row>
    <row r="714" spans="1:6" x14ac:dyDescent="0.3">
      <c r="A714" s="19">
        <v>42332</v>
      </c>
      <c r="B714" s="20">
        <v>435.84780000000001</v>
      </c>
      <c r="C714" s="19">
        <v>42360</v>
      </c>
      <c r="D714" s="20">
        <v>31.408100000000001</v>
      </c>
      <c r="F714" s="43"/>
    </row>
    <row r="715" spans="1:6" x14ac:dyDescent="0.3">
      <c r="A715" s="19">
        <v>42334</v>
      </c>
      <c r="B715" s="20">
        <v>437.00080000000003</v>
      </c>
      <c r="C715" s="19">
        <v>42361</v>
      </c>
      <c r="D715" s="20">
        <v>31.462800000000001</v>
      </c>
      <c r="F715" s="43"/>
    </row>
    <row r="716" spans="1:6" x14ac:dyDescent="0.3">
      <c r="A716" s="19">
        <v>42335</v>
      </c>
      <c r="B716" s="20">
        <v>440.02480000000003</v>
      </c>
      <c r="C716" s="19">
        <v>42366</v>
      </c>
      <c r="D716" s="20">
        <v>31.471299999999999</v>
      </c>
      <c r="F716" s="43"/>
    </row>
    <row r="717" spans="1:6" x14ac:dyDescent="0.3">
      <c r="A717" s="19">
        <v>42338</v>
      </c>
      <c r="B717" s="20">
        <v>439.80709999999999</v>
      </c>
      <c r="C717" s="19">
        <v>42367</v>
      </c>
      <c r="D717" s="20">
        <v>31.458200000000001</v>
      </c>
      <c r="F717" s="43"/>
    </row>
    <row r="718" spans="1:6" x14ac:dyDescent="0.3">
      <c r="A718" s="19">
        <v>42339</v>
      </c>
      <c r="B718" s="20">
        <v>440.33780000000002</v>
      </c>
      <c r="C718" s="19">
        <v>42368</v>
      </c>
      <c r="D718" s="20">
        <v>31.467300000000002</v>
      </c>
      <c r="F718" s="43"/>
    </row>
    <row r="719" spans="1:6" x14ac:dyDescent="0.3">
      <c r="A719" s="19">
        <v>42340</v>
      </c>
      <c r="B719" s="20">
        <v>438.83690000000001</v>
      </c>
      <c r="C719" s="19">
        <v>42369</v>
      </c>
      <c r="D719" s="20">
        <v>31.453900000000001</v>
      </c>
      <c r="F719" s="43"/>
    </row>
    <row r="720" spans="1:6" x14ac:dyDescent="0.3">
      <c r="A720" s="19">
        <v>42341</v>
      </c>
      <c r="B720" s="20">
        <v>435.52140000000003</v>
      </c>
      <c r="C720" s="19">
        <v>42370</v>
      </c>
      <c r="D720" s="20">
        <v>31.496099999999998</v>
      </c>
      <c r="F720" s="43"/>
    </row>
    <row r="721" spans="1:6" x14ac:dyDescent="0.3">
      <c r="A721" s="19">
        <v>42342</v>
      </c>
      <c r="B721" s="20">
        <v>432.35489999999999</v>
      </c>
      <c r="C721" s="19">
        <v>42373</v>
      </c>
      <c r="D721" s="20">
        <v>31.512799999999999</v>
      </c>
      <c r="F721" s="43"/>
    </row>
    <row r="722" spans="1:6" x14ac:dyDescent="0.3">
      <c r="A722" s="19">
        <v>42345</v>
      </c>
      <c r="B722" s="20">
        <v>432.82299999999998</v>
      </c>
      <c r="C722" s="19">
        <v>42374</v>
      </c>
      <c r="D722" s="20">
        <v>31.519100000000002</v>
      </c>
      <c r="F722" s="43"/>
    </row>
    <row r="723" spans="1:6" x14ac:dyDescent="0.3">
      <c r="A723" s="19">
        <v>42346</v>
      </c>
      <c r="B723" s="20">
        <v>430.00749999999999</v>
      </c>
      <c r="C723" s="19">
        <v>42375</v>
      </c>
      <c r="D723" s="20">
        <v>31.527999999999999</v>
      </c>
      <c r="F723" s="43"/>
    </row>
    <row r="724" spans="1:6" x14ac:dyDescent="0.3">
      <c r="A724" s="19">
        <v>42347</v>
      </c>
      <c r="B724" s="20">
        <v>424.66829999999999</v>
      </c>
      <c r="C724" s="19">
        <v>42376</v>
      </c>
      <c r="D724" s="20">
        <v>31.548200000000001</v>
      </c>
      <c r="F724" s="43"/>
    </row>
    <row r="725" spans="1:6" x14ac:dyDescent="0.3">
      <c r="A725" s="19">
        <v>42348</v>
      </c>
      <c r="B725" s="20">
        <v>426.3365</v>
      </c>
      <c r="C725" s="19">
        <v>42377</v>
      </c>
      <c r="D725" s="20">
        <v>31.553699999999999</v>
      </c>
      <c r="F725" s="43"/>
    </row>
    <row r="726" spans="1:6" x14ac:dyDescent="0.3">
      <c r="A726" s="19">
        <v>42349</v>
      </c>
      <c r="B726" s="20">
        <v>421.8732</v>
      </c>
      <c r="C726" s="19">
        <v>42380</v>
      </c>
      <c r="D726" s="20">
        <v>31.5534</v>
      </c>
      <c r="F726" s="43"/>
    </row>
    <row r="727" spans="1:6" x14ac:dyDescent="0.3">
      <c r="A727" s="19">
        <v>42352</v>
      </c>
      <c r="B727" s="20">
        <v>422.66109999999998</v>
      </c>
      <c r="C727" s="19">
        <v>42381</v>
      </c>
      <c r="D727" s="20">
        <v>31.543399999999998</v>
      </c>
      <c r="F727" s="43"/>
    </row>
    <row r="728" spans="1:6" x14ac:dyDescent="0.3">
      <c r="A728" s="19">
        <v>42353</v>
      </c>
      <c r="B728" s="20">
        <v>425.26979999999998</v>
      </c>
      <c r="C728" s="19">
        <v>42382</v>
      </c>
      <c r="D728" s="20">
        <v>31.5166</v>
      </c>
      <c r="F728" s="43"/>
    </row>
    <row r="729" spans="1:6" x14ac:dyDescent="0.3">
      <c r="A729" s="19">
        <v>42354</v>
      </c>
      <c r="B729" s="20">
        <v>427.18560000000002</v>
      </c>
      <c r="C729" s="19">
        <v>42383</v>
      </c>
      <c r="D729" s="20">
        <v>31.475200000000001</v>
      </c>
      <c r="F729" s="43"/>
    </row>
    <row r="730" spans="1:6" x14ac:dyDescent="0.3">
      <c r="A730" s="19">
        <v>42355</v>
      </c>
      <c r="B730" s="20">
        <v>432.50209999999998</v>
      </c>
      <c r="C730" s="19">
        <v>42384</v>
      </c>
      <c r="D730" s="20">
        <v>31.418399999999998</v>
      </c>
      <c r="F730" s="43"/>
    </row>
    <row r="731" spans="1:6" x14ac:dyDescent="0.3">
      <c r="A731" s="19">
        <v>42356</v>
      </c>
      <c r="B731" s="20">
        <v>428.85379999999998</v>
      </c>
      <c r="C731" s="19">
        <v>42387</v>
      </c>
      <c r="D731" s="20">
        <v>31.407299999999999</v>
      </c>
      <c r="F731" s="43"/>
    </row>
    <row r="732" spans="1:6" x14ac:dyDescent="0.3">
      <c r="A732" s="19">
        <v>42359</v>
      </c>
      <c r="B732" s="20">
        <v>431.68369999999999</v>
      </c>
      <c r="C732" s="19">
        <v>42388</v>
      </c>
      <c r="D732" s="20">
        <v>31.458500000000001</v>
      </c>
      <c r="F732" s="43"/>
    </row>
    <row r="733" spans="1:6" x14ac:dyDescent="0.3">
      <c r="A733" s="19">
        <v>42360</v>
      </c>
      <c r="B733" s="20">
        <v>430.09519999999998</v>
      </c>
      <c r="C733" s="19">
        <v>42389</v>
      </c>
      <c r="D733" s="20">
        <v>31.526299999999999</v>
      </c>
      <c r="F733" s="43"/>
    </row>
    <row r="734" spans="1:6" x14ac:dyDescent="0.3">
      <c r="A734" s="19">
        <v>42361</v>
      </c>
      <c r="B734" s="20">
        <v>432.87200000000001</v>
      </c>
      <c r="C734" s="19">
        <v>42390</v>
      </c>
      <c r="D734" s="20">
        <v>31.584800000000001</v>
      </c>
      <c r="F734" s="43"/>
    </row>
    <row r="735" spans="1:6" x14ac:dyDescent="0.3">
      <c r="A735" s="19">
        <v>42362</v>
      </c>
      <c r="B735" s="20">
        <v>433.73219999999998</v>
      </c>
      <c r="C735" s="19">
        <v>42391</v>
      </c>
      <c r="D735" s="20">
        <v>31.5566</v>
      </c>
      <c r="F735" s="43"/>
    </row>
    <row r="736" spans="1:6" x14ac:dyDescent="0.3">
      <c r="A736" s="19">
        <v>42366</v>
      </c>
      <c r="B736" s="20">
        <v>436.25569999999999</v>
      </c>
      <c r="C736" s="19">
        <v>42394</v>
      </c>
      <c r="D736" s="20">
        <v>31.528400000000001</v>
      </c>
      <c r="F736" s="43"/>
    </row>
    <row r="737" spans="1:6" x14ac:dyDescent="0.3">
      <c r="A737" s="19">
        <v>42367</v>
      </c>
      <c r="B737" s="20">
        <v>436.46199999999999</v>
      </c>
      <c r="C737" s="19">
        <v>42396</v>
      </c>
      <c r="D737" s="20">
        <v>31.559799999999999</v>
      </c>
      <c r="F737" s="43"/>
    </row>
    <row r="738" spans="1:6" x14ac:dyDescent="0.3">
      <c r="A738" s="19">
        <v>42368</v>
      </c>
      <c r="B738" s="20">
        <v>435.58760000000001</v>
      </c>
      <c r="C738" s="19">
        <v>42397</v>
      </c>
      <c r="D738" s="20">
        <v>31.534600000000001</v>
      </c>
      <c r="F738" s="43"/>
    </row>
    <row r="739" spans="1:6" x14ac:dyDescent="0.3">
      <c r="A739" s="19">
        <v>42369</v>
      </c>
      <c r="B739" s="20">
        <v>435.88310000000001</v>
      </c>
      <c r="C739" s="19">
        <v>42398</v>
      </c>
      <c r="D739" s="20">
        <v>31.586099999999998</v>
      </c>
      <c r="F739" s="43"/>
    </row>
    <row r="740" spans="1:6" x14ac:dyDescent="0.3">
      <c r="A740" s="19">
        <v>42373</v>
      </c>
      <c r="B740" s="20">
        <v>430.42500000000001</v>
      </c>
      <c r="C740" s="19">
        <v>42401</v>
      </c>
      <c r="D740" s="20">
        <v>31.584199999999999</v>
      </c>
      <c r="F740" s="43"/>
    </row>
    <row r="741" spans="1:6" x14ac:dyDescent="0.3">
      <c r="A741" s="19">
        <v>42374</v>
      </c>
      <c r="B741" s="20">
        <v>430.51639999999998</v>
      </c>
      <c r="C741" s="19">
        <v>42402</v>
      </c>
      <c r="D741" s="20">
        <v>31.4818</v>
      </c>
      <c r="F741" s="43"/>
    </row>
    <row r="742" spans="1:6" x14ac:dyDescent="0.3">
      <c r="A742" s="19">
        <v>42375</v>
      </c>
      <c r="B742" s="20">
        <v>428.39150000000001</v>
      </c>
      <c r="C742" s="19">
        <v>42403</v>
      </c>
      <c r="D742" s="20">
        <v>31.473299999999998</v>
      </c>
      <c r="F742" s="43"/>
    </row>
    <row r="743" spans="1:6" x14ac:dyDescent="0.3">
      <c r="A743" s="19">
        <v>42376</v>
      </c>
      <c r="B743" s="20">
        <v>420.05189999999999</v>
      </c>
      <c r="C743" s="19">
        <v>42404</v>
      </c>
      <c r="D743" s="20">
        <v>31.501999999999999</v>
      </c>
      <c r="F743" s="43"/>
    </row>
    <row r="744" spans="1:6" x14ac:dyDescent="0.3">
      <c r="A744" s="19">
        <v>42377</v>
      </c>
      <c r="B744" s="20">
        <v>423.10539999999997</v>
      </c>
      <c r="C744" s="19">
        <v>42405</v>
      </c>
      <c r="D744" s="20">
        <v>31.523</v>
      </c>
      <c r="F744" s="43"/>
    </row>
    <row r="745" spans="1:6" x14ac:dyDescent="0.3">
      <c r="A745" s="19">
        <v>42380</v>
      </c>
      <c r="B745" s="20">
        <v>420.23489999999998</v>
      </c>
      <c r="C745" s="19">
        <v>42408</v>
      </c>
      <c r="D745" s="20">
        <v>31.5153</v>
      </c>
      <c r="F745" s="43"/>
    </row>
    <row r="746" spans="1:6" x14ac:dyDescent="0.3">
      <c r="A746" s="19">
        <v>42381</v>
      </c>
      <c r="B746" s="20">
        <v>416.81279999999998</v>
      </c>
      <c r="C746" s="19">
        <v>42409</v>
      </c>
      <c r="D746" s="20">
        <v>31.503799999999998</v>
      </c>
      <c r="F746" s="43"/>
    </row>
    <row r="747" spans="1:6" x14ac:dyDescent="0.3">
      <c r="A747" s="19">
        <v>42382</v>
      </c>
      <c r="B747" s="20">
        <v>418.51429999999999</v>
      </c>
      <c r="C747" s="19">
        <v>42410</v>
      </c>
      <c r="D747" s="20">
        <v>31.519200000000001</v>
      </c>
      <c r="F747" s="43"/>
    </row>
    <row r="748" spans="1:6" x14ac:dyDescent="0.3">
      <c r="A748" s="19">
        <v>42383</v>
      </c>
      <c r="B748" s="20">
        <v>415.01690000000002</v>
      </c>
      <c r="C748" s="19">
        <v>42411</v>
      </c>
      <c r="D748" s="20">
        <v>31.5184</v>
      </c>
      <c r="F748" s="43"/>
    </row>
    <row r="749" spans="1:6" x14ac:dyDescent="0.3">
      <c r="A749" s="19">
        <v>42384</v>
      </c>
      <c r="B749" s="20">
        <v>410.05070000000001</v>
      </c>
      <c r="C749" s="19">
        <v>42412</v>
      </c>
      <c r="D749" s="20">
        <v>31.508900000000001</v>
      </c>
      <c r="F749" s="43"/>
    </row>
    <row r="750" spans="1:6" x14ac:dyDescent="0.3">
      <c r="A750" s="19">
        <v>42387</v>
      </c>
      <c r="B750" s="20">
        <v>403.67329999999998</v>
      </c>
      <c r="C750" s="19">
        <v>42415</v>
      </c>
      <c r="D750" s="20">
        <v>31.465900000000001</v>
      </c>
      <c r="F750" s="43"/>
    </row>
    <row r="751" spans="1:6" x14ac:dyDescent="0.3">
      <c r="A751" s="19">
        <v>42388</v>
      </c>
      <c r="B751" s="20">
        <v>408.96420000000001</v>
      </c>
      <c r="C751" s="19">
        <v>42416</v>
      </c>
      <c r="D751" s="20">
        <v>31.4011</v>
      </c>
      <c r="F751" s="43"/>
    </row>
    <row r="752" spans="1:6" x14ac:dyDescent="0.3">
      <c r="A752" s="19">
        <v>42389</v>
      </c>
      <c r="B752" s="20">
        <v>403.53890000000001</v>
      </c>
      <c r="C752" s="19">
        <v>42417</v>
      </c>
      <c r="D752" s="20">
        <v>31.3672</v>
      </c>
      <c r="F752" s="43"/>
    </row>
    <row r="753" spans="1:6" x14ac:dyDescent="0.3">
      <c r="A753" s="19">
        <v>42390</v>
      </c>
      <c r="B753" s="20">
        <v>403.60879999999997</v>
      </c>
      <c r="C753" s="19">
        <v>42418</v>
      </c>
      <c r="D753" s="20">
        <v>31.404599999999999</v>
      </c>
      <c r="F753" s="43"/>
    </row>
    <row r="754" spans="1:6" x14ac:dyDescent="0.3">
      <c r="A754" s="19">
        <v>42391</v>
      </c>
      <c r="B754" s="20">
        <v>410.3535</v>
      </c>
      <c r="C754" s="19">
        <v>42422</v>
      </c>
      <c r="D754" s="20">
        <v>31.3445</v>
      </c>
      <c r="F754" s="43"/>
    </row>
    <row r="755" spans="1:6" x14ac:dyDescent="0.3">
      <c r="A755" s="19">
        <v>42394</v>
      </c>
      <c r="B755" s="20">
        <v>411.23680000000002</v>
      </c>
      <c r="C755" s="19">
        <v>42423</v>
      </c>
      <c r="D755" s="20">
        <v>31.250800000000002</v>
      </c>
      <c r="F755" s="43"/>
    </row>
    <row r="756" spans="1:6" x14ac:dyDescent="0.3">
      <c r="A756" s="19">
        <v>42396</v>
      </c>
      <c r="B756" s="20">
        <v>411.3691</v>
      </c>
      <c r="C756" s="19">
        <v>42424</v>
      </c>
      <c r="D756" s="20">
        <v>31.224299999999999</v>
      </c>
      <c r="F756" s="43"/>
    </row>
    <row r="757" spans="1:6" x14ac:dyDescent="0.3">
      <c r="A757" s="19">
        <v>42397</v>
      </c>
      <c r="B757" s="20">
        <v>409.47</v>
      </c>
      <c r="C757" s="19">
        <v>42425</v>
      </c>
      <c r="D757" s="20">
        <v>31.0901</v>
      </c>
      <c r="F757" s="43"/>
    </row>
    <row r="758" spans="1:6" x14ac:dyDescent="0.3">
      <c r="A758" s="19">
        <v>42398</v>
      </c>
      <c r="B758" s="20">
        <v>416.34109999999998</v>
      </c>
      <c r="C758" s="19">
        <v>42426</v>
      </c>
      <c r="D758" s="20">
        <v>31.2151</v>
      </c>
      <c r="F758" s="43"/>
    </row>
    <row r="759" spans="1:6" x14ac:dyDescent="0.3">
      <c r="A759" s="19">
        <v>42401</v>
      </c>
      <c r="B759" s="20">
        <v>417.4513</v>
      </c>
      <c r="C759" s="19">
        <v>42429</v>
      </c>
      <c r="D759" s="20">
        <v>31.59</v>
      </c>
      <c r="F759" s="43"/>
    </row>
    <row r="760" spans="1:6" x14ac:dyDescent="0.3">
      <c r="A760" s="19">
        <v>42402</v>
      </c>
      <c r="B760" s="20">
        <v>413.43619999999999</v>
      </c>
      <c r="C760" s="19">
        <v>42430</v>
      </c>
      <c r="D760" s="20">
        <v>31.6495</v>
      </c>
      <c r="F760" s="43"/>
    </row>
    <row r="761" spans="1:6" x14ac:dyDescent="0.3">
      <c r="A761" s="19">
        <v>42403</v>
      </c>
      <c r="B761" s="20">
        <v>407.88990000000001</v>
      </c>
      <c r="C761" s="19">
        <v>42431</v>
      </c>
      <c r="D761" s="20">
        <v>31.6386</v>
      </c>
      <c r="F761" s="43"/>
    </row>
    <row r="762" spans="1:6" x14ac:dyDescent="0.3">
      <c r="A762" s="19">
        <v>42404</v>
      </c>
      <c r="B762" s="20">
        <v>409.27730000000003</v>
      </c>
      <c r="C762" s="19">
        <v>42432</v>
      </c>
      <c r="D762" s="20">
        <v>31.612500000000001</v>
      </c>
      <c r="F762" s="43"/>
    </row>
    <row r="763" spans="1:6" x14ac:dyDescent="0.3">
      <c r="A763" s="19">
        <v>42405</v>
      </c>
      <c r="B763" s="20">
        <v>414.68270000000001</v>
      </c>
      <c r="C763" s="19">
        <v>42433</v>
      </c>
      <c r="D763" s="20">
        <v>31.593499999999999</v>
      </c>
      <c r="F763" s="43"/>
    </row>
    <row r="764" spans="1:6" x14ac:dyDescent="0.3">
      <c r="A764" s="19">
        <v>42408</v>
      </c>
      <c r="B764" s="20">
        <v>411.33640000000003</v>
      </c>
      <c r="C764" s="19">
        <v>42437</v>
      </c>
      <c r="D764" s="20">
        <v>31.581099999999999</v>
      </c>
      <c r="F764" s="43"/>
    </row>
    <row r="765" spans="1:6" x14ac:dyDescent="0.3">
      <c r="A765" s="19">
        <v>42409</v>
      </c>
      <c r="B765" s="20">
        <v>405.67930000000001</v>
      </c>
      <c r="C765" s="19">
        <v>42438</v>
      </c>
      <c r="D765" s="20">
        <v>31.5867</v>
      </c>
      <c r="F765" s="43"/>
    </row>
    <row r="766" spans="1:6" x14ac:dyDescent="0.3">
      <c r="A766" s="19">
        <v>42410</v>
      </c>
      <c r="B766" s="20">
        <v>402.44110000000001</v>
      </c>
      <c r="C766" s="19">
        <v>42439</v>
      </c>
      <c r="D766" s="20">
        <v>31.605599999999999</v>
      </c>
      <c r="F766" s="43"/>
    </row>
    <row r="767" spans="1:6" x14ac:dyDescent="0.3">
      <c r="A767" s="19">
        <v>42411</v>
      </c>
      <c r="B767" s="20">
        <v>391.9196</v>
      </c>
      <c r="C767" s="19">
        <v>42440</v>
      </c>
      <c r="D767" s="20">
        <v>31.612100000000002</v>
      </c>
      <c r="F767" s="43"/>
    </row>
    <row r="768" spans="1:6" x14ac:dyDescent="0.3">
      <c r="A768" s="19">
        <v>42412</v>
      </c>
      <c r="B768" s="20">
        <v>389.99509999999998</v>
      </c>
      <c r="C768" s="19">
        <v>42443</v>
      </c>
      <c r="D768" s="20">
        <v>31.690799999999999</v>
      </c>
      <c r="F768" s="43"/>
    </row>
    <row r="769" spans="1:6" x14ac:dyDescent="0.3">
      <c r="A769" s="19">
        <v>42415</v>
      </c>
      <c r="B769" s="20">
        <v>399.27460000000002</v>
      </c>
      <c r="C769" s="19">
        <v>42444</v>
      </c>
      <c r="D769" s="20">
        <v>31.7058</v>
      </c>
      <c r="F769" s="43"/>
    </row>
    <row r="770" spans="1:6" x14ac:dyDescent="0.3">
      <c r="A770" s="19">
        <v>42416</v>
      </c>
      <c r="B770" s="20">
        <v>393.40710000000001</v>
      </c>
      <c r="C770" s="19">
        <v>42445</v>
      </c>
      <c r="D770" s="20">
        <v>31.747499999999999</v>
      </c>
      <c r="F770" s="43"/>
    </row>
    <row r="771" spans="1:6" x14ac:dyDescent="0.3">
      <c r="A771" s="19">
        <v>42417</v>
      </c>
      <c r="B771" s="20">
        <v>395.6454</v>
      </c>
      <c r="C771" s="19">
        <v>42446</v>
      </c>
      <c r="D771" s="20">
        <v>31.838000000000001</v>
      </c>
      <c r="F771" s="43"/>
    </row>
    <row r="772" spans="1:6" x14ac:dyDescent="0.3">
      <c r="A772" s="19">
        <v>42418</v>
      </c>
      <c r="B772" s="20">
        <v>399.88780000000003</v>
      </c>
      <c r="C772" s="19">
        <v>42447</v>
      </c>
      <c r="D772" s="20">
        <v>31.859200000000001</v>
      </c>
      <c r="F772" s="43"/>
    </row>
    <row r="773" spans="1:6" x14ac:dyDescent="0.3">
      <c r="A773" s="19">
        <v>42419</v>
      </c>
      <c r="B773" s="20">
        <v>401.43650000000002</v>
      </c>
      <c r="C773" s="19">
        <v>42450</v>
      </c>
      <c r="D773" s="20">
        <v>31.937200000000001</v>
      </c>
      <c r="F773" s="43"/>
    </row>
    <row r="774" spans="1:6" x14ac:dyDescent="0.3">
      <c r="A774" s="19">
        <v>42422</v>
      </c>
      <c r="B774" s="20">
        <v>403.31880000000001</v>
      </c>
      <c r="C774" s="19">
        <v>42451</v>
      </c>
      <c r="D774" s="20">
        <v>31.971</v>
      </c>
      <c r="F774" s="43"/>
    </row>
    <row r="775" spans="1:6" x14ac:dyDescent="0.3">
      <c r="A775" s="19">
        <v>42423</v>
      </c>
      <c r="B775" s="20">
        <v>397.44659999999999</v>
      </c>
      <c r="C775" s="19">
        <v>42452</v>
      </c>
      <c r="D775" s="20">
        <v>32.006599999999999</v>
      </c>
      <c r="F775" s="43"/>
    </row>
    <row r="776" spans="1:6" x14ac:dyDescent="0.3">
      <c r="A776" s="19">
        <v>42424</v>
      </c>
      <c r="B776" s="20">
        <v>393.15499999999997</v>
      </c>
      <c r="C776" s="19">
        <v>42457</v>
      </c>
      <c r="D776" s="20">
        <v>32.067</v>
      </c>
      <c r="F776" s="43"/>
    </row>
    <row r="777" spans="1:6" x14ac:dyDescent="0.3">
      <c r="A777" s="19">
        <v>42425</v>
      </c>
      <c r="B777" s="20">
        <v>389.45420000000001</v>
      </c>
      <c r="C777" s="19">
        <v>42458</v>
      </c>
      <c r="D777" s="20">
        <v>32.055799999999998</v>
      </c>
      <c r="F777" s="43"/>
    </row>
    <row r="778" spans="1:6" x14ac:dyDescent="0.3">
      <c r="A778" s="19">
        <v>42426</v>
      </c>
      <c r="B778" s="20">
        <v>390.8775</v>
      </c>
      <c r="C778" s="19">
        <v>42459</v>
      </c>
      <c r="D778" s="20">
        <v>32.0901</v>
      </c>
      <c r="F778" s="43"/>
    </row>
    <row r="779" spans="1:6" x14ac:dyDescent="0.3">
      <c r="A779" s="19">
        <v>42429</v>
      </c>
      <c r="B779" s="20">
        <v>389.78230000000002</v>
      </c>
      <c r="C779" s="19">
        <v>42460</v>
      </c>
      <c r="D779" s="20">
        <v>32.157299999999999</v>
      </c>
      <c r="F779" s="43"/>
    </row>
    <row r="780" spans="1:6" x14ac:dyDescent="0.3">
      <c r="A780" s="19">
        <v>42430</v>
      </c>
      <c r="B780" s="20">
        <v>401.1857</v>
      </c>
      <c r="C780" s="19">
        <v>42464</v>
      </c>
      <c r="D780" s="20">
        <v>32.25</v>
      </c>
      <c r="F780" s="43"/>
    </row>
    <row r="781" spans="1:6" x14ac:dyDescent="0.3">
      <c r="A781" s="19">
        <v>42431</v>
      </c>
      <c r="B781" s="20">
        <v>408.6936</v>
      </c>
      <c r="C781" s="19">
        <v>42465</v>
      </c>
      <c r="D781" s="20">
        <v>32.218499999999999</v>
      </c>
      <c r="F781" s="43"/>
    </row>
    <row r="782" spans="1:6" x14ac:dyDescent="0.3">
      <c r="A782" s="19">
        <v>42432</v>
      </c>
      <c r="B782" s="20">
        <v>413.75630000000001</v>
      </c>
      <c r="C782" s="19">
        <v>42466</v>
      </c>
      <c r="D782" s="20">
        <v>32.281599999999997</v>
      </c>
      <c r="F782" s="43"/>
    </row>
    <row r="783" spans="1:6" x14ac:dyDescent="0.3">
      <c r="A783" s="19">
        <v>42433</v>
      </c>
      <c r="B783" s="20">
        <v>414.48110000000003</v>
      </c>
      <c r="C783" s="19">
        <v>42467</v>
      </c>
      <c r="D783" s="20">
        <v>32.313400000000001</v>
      </c>
      <c r="F783" s="43"/>
    </row>
    <row r="784" spans="1:6" x14ac:dyDescent="0.3">
      <c r="A784" s="19">
        <v>42437</v>
      </c>
      <c r="B784" s="20">
        <v>413.00060000000002</v>
      </c>
      <c r="C784" s="19">
        <v>42471</v>
      </c>
      <c r="D784" s="20">
        <v>32.427500000000002</v>
      </c>
      <c r="F784" s="43"/>
    </row>
    <row r="785" spans="1:6" x14ac:dyDescent="0.3">
      <c r="A785" s="19">
        <v>42438</v>
      </c>
      <c r="B785" s="20">
        <v>415.52409999999998</v>
      </c>
      <c r="C785" s="19">
        <v>42472</v>
      </c>
      <c r="D785" s="20">
        <v>32.445700000000002</v>
      </c>
      <c r="F785" s="43"/>
    </row>
    <row r="786" spans="1:6" x14ac:dyDescent="0.3">
      <c r="A786" s="19">
        <v>42439</v>
      </c>
      <c r="B786" s="20">
        <v>413.4819</v>
      </c>
      <c r="C786" s="19">
        <v>42473</v>
      </c>
      <c r="D786" s="20">
        <v>32.3752</v>
      </c>
      <c r="F786" s="43"/>
    </row>
    <row r="787" spans="1:6" x14ac:dyDescent="0.3">
      <c r="A787" s="19">
        <v>42440</v>
      </c>
      <c r="B787" s="20">
        <v>414.30919999999998</v>
      </c>
      <c r="C787" s="19">
        <v>42478</v>
      </c>
      <c r="D787" s="20">
        <v>32.448399999999999</v>
      </c>
      <c r="F787" s="43"/>
    </row>
    <row r="788" spans="1:6" x14ac:dyDescent="0.3">
      <c r="A788" s="19">
        <v>42443</v>
      </c>
      <c r="B788" s="20">
        <v>416.60520000000002</v>
      </c>
      <c r="C788" s="19">
        <v>42480</v>
      </c>
      <c r="D788" s="20">
        <v>32.430799999999998</v>
      </c>
      <c r="F788" s="43"/>
    </row>
    <row r="789" spans="1:6" x14ac:dyDescent="0.3">
      <c r="A789" s="19">
        <v>42444</v>
      </c>
      <c r="B789" s="20">
        <v>414.5376</v>
      </c>
      <c r="C789" s="19">
        <v>42481</v>
      </c>
      <c r="D789" s="20">
        <v>32.346200000000003</v>
      </c>
      <c r="F789" s="43"/>
    </row>
    <row r="790" spans="1:6" x14ac:dyDescent="0.3">
      <c r="A790" s="19">
        <v>42445</v>
      </c>
      <c r="B790" s="20">
        <v>415.18819999999999</v>
      </c>
      <c r="C790" s="19">
        <v>42482</v>
      </c>
      <c r="D790" s="20">
        <v>32.401400000000002</v>
      </c>
      <c r="F790" s="43"/>
    </row>
    <row r="791" spans="1:6" x14ac:dyDescent="0.3">
      <c r="A791" s="19">
        <v>42446</v>
      </c>
      <c r="B791" s="20">
        <v>417.45049999999998</v>
      </c>
      <c r="C791" s="19">
        <v>42485</v>
      </c>
      <c r="D791" s="20">
        <v>32.386699999999998</v>
      </c>
      <c r="F791" s="43"/>
    </row>
    <row r="792" spans="1:6" x14ac:dyDescent="0.3">
      <c r="A792" s="19">
        <v>42447</v>
      </c>
      <c r="B792" s="20">
        <v>422.5917</v>
      </c>
      <c r="C792" s="19">
        <v>42486</v>
      </c>
      <c r="D792" s="20">
        <v>32.393799999999999</v>
      </c>
      <c r="F792" s="43"/>
    </row>
    <row r="793" spans="1:6" x14ac:dyDescent="0.3">
      <c r="A793" s="19">
        <v>42450</v>
      </c>
      <c r="B793" s="20">
        <v>428.2353</v>
      </c>
      <c r="C793" s="19">
        <v>42487</v>
      </c>
      <c r="D793" s="20">
        <v>32.406199999999998</v>
      </c>
      <c r="F793" s="43"/>
    </row>
    <row r="794" spans="1:6" x14ac:dyDescent="0.3">
      <c r="A794" s="19">
        <v>42451</v>
      </c>
      <c r="B794" s="20">
        <v>429.07440000000003</v>
      </c>
      <c r="C794" s="19">
        <v>42488</v>
      </c>
      <c r="D794" s="20">
        <v>32.435000000000002</v>
      </c>
      <c r="F794" s="43"/>
    </row>
    <row r="795" spans="1:6" x14ac:dyDescent="0.3">
      <c r="A795" s="19">
        <v>42452</v>
      </c>
      <c r="B795" s="20">
        <v>429.19290000000001</v>
      </c>
      <c r="C795" s="19">
        <v>42489</v>
      </c>
      <c r="D795" s="20">
        <v>32.472799999999999</v>
      </c>
      <c r="F795" s="43"/>
    </row>
    <row r="796" spans="1:6" x14ac:dyDescent="0.3">
      <c r="A796" s="19">
        <v>42457</v>
      </c>
      <c r="B796" s="20">
        <v>424.1456</v>
      </c>
      <c r="C796" s="19">
        <v>42492</v>
      </c>
      <c r="D796" s="20">
        <v>32.481499999999997</v>
      </c>
      <c r="F796" s="43"/>
    </row>
    <row r="797" spans="1:6" x14ac:dyDescent="0.3">
      <c r="A797" s="19">
        <v>42458</v>
      </c>
      <c r="B797" s="20">
        <v>424.096</v>
      </c>
      <c r="C797" s="19">
        <v>42493</v>
      </c>
      <c r="D797" s="20">
        <v>32.463799999999999</v>
      </c>
      <c r="F797" s="43"/>
    </row>
    <row r="798" spans="1:6" x14ac:dyDescent="0.3">
      <c r="A798" s="19">
        <v>42459</v>
      </c>
      <c r="B798" s="20">
        <v>431.1</v>
      </c>
      <c r="C798" s="19">
        <v>42494</v>
      </c>
      <c r="D798" s="20">
        <v>32.488900000000001</v>
      </c>
      <c r="F798" s="43"/>
    </row>
    <row r="799" spans="1:6" x14ac:dyDescent="0.3">
      <c r="A799" s="19">
        <v>42460</v>
      </c>
      <c r="B799" s="20">
        <v>432.22789999999998</v>
      </c>
      <c r="C799" s="19">
        <v>42495</v>
      </c>
      <c r="D799" s="20">
        <v>32.486600000000003</v>
      </c>
      <c r="F799" s="43"/>
    </row>
    <row r="800" spans="1:6" x14ac:dyDescent="0.3">
      <c r="A800" s="19">
        <v>42461</v>
      </c>
      <c r="B800" s="20">
        <v>431.10509999999999</v>
      </c>
      <c r="C800" s="19">
        <v>42496</v>
      </c>
      <c r="D800" s="20">
        <v>32.504899999999999</v>
      </c>
      <c r="F800" s="43"/>
    </row>
    <row r="801" spans="1:6" x14ac:dyDescent="0.3">
      <c r="A801" s="19">
        <v>42464</v>
      </c>
      <c r="B801" s="20">
        <v>435.1293</v>
      </c>
      <c r="C801" s="19">
        <v>42499</v>
      </c>
      <c r="D801" s="20">
        <v>32.550800000000002</v>
      </c>
      <c r="F801" s="43"/>
    </row>
    <row r="802" spans="1:6" x14ac:dyDescent="0.3">
      <c r="A802" s="19">
        <v>42465</v>
      </c>
      <c r="B802" s="20">
        <v>426.4092</v>
      </c>
      <c r="C802" s="19">
        <v>42500</v>
      </c>
      <c r="D802" s="20">
        <v>32.556600000000003</v>
      </c>
      <c r="F802" s="43"/>
    </row>
    <row r="803" spans="1:6" x14ac:dyDescent="0.3">
      <c r="A803" s="19">
        <v>42466</v>
      </c>
      <c r="B803" s="20">
        <v>427.93279999999999</v>
      </c>
      <c r="C803" s="19">
        <v>42501</v>
      </c>
      <c r="D803" s="20">
        <v>32.560699999999997</v>
      </c>
      <c r="F803" s="43"/>
    </row>
    <row r="804" spans="1:6" x14ac:dyDescent="0.3">
      <c r="A804" s="19">
        <v>42467</v>
      </c>
      <c r="B804" s="20">
        <v>424.96499999999997</v>
      </c>
      <c r="C804" s="19">
        <v>42502</v>
      </c>
      <c r="D804" s="20">
        <v>32.584099999999999</v>
      </c>
      <c r="F804" s="43"/>
    </row>
    <row r="805" spans="1:6" x14ac:dyDescent="0.3">
      <c r="A805" s="19">
        <v>42468</v>
      </c>
      <c r="B805" s="20">
        <v>426.30270000000002</v>
      </c>
      <c r="C805" s="19">
        <v>42503</v>
      </c>
      <c r="D805" s="20">
        <v>32.563499999999998</v>
      </c>
      <c r="F805" s="43"/>
    </row>
    <row r="806" spans="1:6" x14ac:dyDescent="0.3">
      <c r="A806" s="19">
        <v>42471</v>
      </c>
      <c r="B806" s="20">
        <v>430.73520000000002</v>
      </c>
      <c r="C806" s="19">
        <v>42506</v>
      </c>
      <c r="D806" s="20">
        <v>32.572099999999999</v>
      </c>
      <c r="F806" s="43"/>
    </row>
    <row r="807" spans="1:6" x14ac:dyDescent="0.3">
      <c r="A807" s="19">
        <v>42472</v>
      </c>
      <c r="B807" s="20">
        <v>433.32499999999999</v>
      </c>
      <c r="C807" s="19">
        <v>42507</v>
      </c>
      <c r="D807" s="20">
        <v>32.573</v>
      </c>
      <c r="F807" s="43"/>
    </row>
    <row r="808" spans="1:6" x14ac:dyDescent="0.3">
      <c r="A808" s="19">
        <v>42473</v>
      </c>
      <c r="B808" s="20">
        <v>439.08730000000003</v>
      </c>
      <c r="C808" s="19">
        <v>42508</v>
      </c>
      <c r="D808" s="20">
        <v>32.5366</v>
      </c>
      <c r="F808" s="43"/>
    </row>
    <row r="809" spans="1:6" x14ac:dyDescent="0.3">
      <c r="A809" s="19">
        <v>42478</v>
      </c>
      <c r="B809" s="20">
        <v>442.73200000000003</v>
      </c>
      <c r="C809" s="19">
        <v>42509</v>
      </c>
      <c r="D809" s="20">
        <v>32.552799999999998</v>
      </c>
      <c r="F809" s="43"/>
    </row>
    <row r="810" spans="1:6" x14ac:dyDescent="0.3">
      <c r="A810" s="19">
        <v>42480</v>
      </c>
      <c r="B810" s="20">
        <v>442.72890000000001</v>
      </c>
      <c r="C810" s="19">
        <v>42510</v>
      </c>
      <c r="D810" s="20">
        <v>32.546700000000001</v>
      </c>
      <c r="F810" s="43"/>
    </row>
    <row r="811" spans="1:6" x14ac:dyDescent="0.3">
      <c r="A811" s="19">
        <v>42481</v>
      </c>
      <c r="B811" s="20">
        <v>442.78769999999997</v>
      </c>
      <c r="C811" s="19">
        <v>42513</v>
      </c>
      <c r="D811" s="20">
        <v>32.585000000000001</v>
      </c>
      <c r="F811" s="43"/>
    </row>
    <row r="812" spans="1:6" x14ac:dyDescent="0.3">
      <c r="A812" s="19">
        <v>42482</v>
      </c>
      <c r="B812" s="20">
        <v>442.82339999999999</v>
      </c>
      <c r="C812" s="19">
        <v>42514</v>
      </c>
      <c r="D812" s="20">
        <v>32.581000000000003</v>
      </c>
      <c r="F812" s="43"/>
    </row>
    <row r="813" spans="1:6" x14ac:dyDescent="0.3">
      <c r="A813" s="19">
        <v>42485</v>
      </c>
      <c r="B813" s="20">
        <v>442.25119999999998</v>
      </c>
      <c r="C813" s="19">
        <v>42515</v>
      </c>
      <c r="D813" s="20">
        <v>32.583300000000001</v>
      </c>
      <c r="F813" s="43"/>
    </row>
    <row r="814" spans="1:6" x14ac:dyDescent="0.3">
      <c r="A814" s="19">
        <v>42486</v>
      </c>
      <c r="B814" s="20">
        <v>446.50400000000002</v>
      </c>
      <c r="C814" s="19">
        <v>42516</v>
      </c>
      <c r="D814" s="20">
        <v>32.579099999999997</v>
      </c>
      <c r="F814" s="43"/>
    </row>
    <row r="815" spans="1:6" x14ac:dyDescent="0.3">
      <c r="A815" s="19">
        <v>42487</v>
      </c>
      <c r="B815" s="20">
        <v>447.447</v>
      </c>
      <c r="C815" s="19">
        <v>42517</v>
      </c>
      <c r="D815" s="20">
        <v>32.584699999999998</v>
      </c>
      <c r="F815" s="43"/>
    </row>
    <row r="816" spans="1:6" x14ac:dyDescent="0.3">
      <c r="A816" s="19">
        <v>42488</v>
      </c>
      <c r="B816" s="20">
        <v>442.45330000000001</v>
      </c>
      <c r="C816" s="19">
        <v>42520</v>
      </c>
      <c r="D816" s="20">
        <v>32.613199999999999</v>
      </c>
      <c r="F816" s="43"/>
    </row>
    <row r="817" spans="1:6" x14ac:dyDescent="0.3">
      <c r="A817" s="19">
        <v>42489</v>
      </c>
      <c r="B817" s="20">
        <v>442.57060000000001</v>
      </c>
      <c r="C817" s="19">
        <v>42521</v>
      </c>
      <c r="D817" s="20">
        <v>32.608899999999998</v>
      </c>
      <c r="F817" s="43"/>
    </row>
    <row r="818" spans="1:6" x14ac:dyDescent="0.3">
      <c r="A818" s="19">
        <v>42492</v>
      </c>
      <c r="B818" s="20">
        <v>440.46190000000001</v>
      </c>
      <c r="C818" s="19">
        <v>42522</v>
      </c>
      <c r="D818" s="20">
        <v>32.585000000000001</v>
      </c>
      <c r="F818" s="43"/>
    </row>
    <row r="819" spans="1:6" x14ac:dyDescent="0.3">
      <c r="A819" s="19">
        <v>42493</v>
      </c>
      <c r="B819" s="20">
        <v>437.75349999999997</v>
      </c>
      <c r="C819" s="19">
        <v>42523</v>
      </c>
      <c r="D819" s="20">
        <v>32.603499999999997</v>
      </c>
      <c r="F819" s="43"/>
    </row>
    <row r="820" spans="1:6" x14ac:dyDescent="0.3">
      <c r="A820" s="19">
        <v>42494</v>
      </c>
      <c r="B820" s="20">
        <v>434.9787</v>
      </c>
      <c r="C820" s="19">
        <v>42524</v>
      </c>
      <c r="D820" s="20">
        <v>32.609099999999998</v>
      </c>
      <c r="F820" s="43"/>
    </row>
    <row r="821" spans="1:6" x14ac:dyDescent="0.3">
      <c r="A821" s="19">
        <v>42495</v>
      </c>
      <c r="B821" s="20">
        <v>434.78899999999999</v>
      </c>
      <c r="C821" s="19">
        <v>42527</v>
      </c>
      <c r="D821" s="20">
        <v>32.652799999999999</v>
      </c>
      <c r="F821" s="43"/>
    </row>
    <row r="822" spans="1:6" x14ac:dyDescent="0.3">
      <c r="A822" s="19">
        <v>42496</v>
      </c>
      <c r="B822" s="20">
        <v>435.01569999999998</v>
      </c>
      <c r="C822" s="19">
        <v>42528</v>
      </c>
      <c r="D822" s="20">
        <v>32.6432</v>
      </c>
      <c r="F822" s="43"/>
    </row>
    <row r="823" spans="1:6" x14ac:dyDescent="0.3">
      <c r="A823" s="19">
        <v>42499</v>
      </c>
      <c r="B823" s="20">
        <v>441.4128</v>
      </c>
      <c r="C823" s="19">
        <v>42529</v>
      </c>
      <c r="D823" s="20">
        <v>32.6404</v>
      </c>
      <c r="F823" s="43"/>
    </row>
    <row r="824" spans="1:6" x14ac:dyDescent="0.3">
      <c r="A824" s="19">
        <v>42500</v>
      </c>
      <c r="B824" s="20">
        <v>443.0616</v>
      </c>
      <c r="C824" s="19">
        <v>42530</v>
      </c>
      <c r="D824" s="20">
        <v>32.656599999999997</v>
      </c>
      <c r="F824" s="43"/>
    </row>
    <row r="825" spans="1:6" x14ac:dyDescent="0.3">
      <c r="A825" s="19">
        <v>42501</v>
      </c>
      <c r="B825" s="20">
        <v>442.3648</v>
      </c>
      <c r="C825" s="19">
        <v>42531</v>
      </c>
      <c r="D825" s="20">
        <v>32.655299999999997</v>
      </c>
      <c r="F825" s="43"/>
    </row>
    <row r="826" spans="1:6" x14ac:dyDescent="0.3">
      <c r="A826" s="19">
        <v>42502</v>
      </c>
      <c r="B826" s="20">
        <v>444.9074</v>
      </c>
      <c r="C826" s="19">
        <v>42534</v>
      </c>
      <c r="D826" s="20">
        <v>32.620800000000003</v>
      </c>
      <c r="F826" s="43"/>
    </row>
    <row r="827" spans="1:6" x14ac:dyDescent="0.3">
      <c r="A827" s="19">
        <v>42503</v>
      </c>
      <c r="B827" s="20">
        <v>442.52179999999998</v>
      </c>
      <c r="C827" s="19">
        <v>42535</v>
      </c>
      <c r="D827" s="20">
        <v>32.651000000000003</v>
      </c>
      <c r="F827" s="43"/>
    </row>
    <row r="828" spans="1:6" x14ac:dyDescent="0.3">
      <c r="A828" s="19">
        <v>42506</v>
      </c>
      <c r="B828" s="20">
        <v>443.90660000000003</v>
      </c>
      <c r="C828" s="19">
        <v>42536</v>
      </c>
      <c r="D828" s="20">
        <v>32.664299999999997</v>
      </c>
      <c r="F828" s="43"/>
    </row>
    <row r="829" spans="1:6" x14ac:dyDescent="0.3">
      <c r="A829" s="19">
        <v>42507</v>
      </c>
      <c r="B829" s="20">
        <v>444.84379999999999</v>
      </c>
      <c r="C829" s="19">
        <v>42537</v>
      </c>
      <c r="D829" s="20">
        <v>32.688099999999999</v>
      </c>
      <c r="F829" s="43"/>
    </row>
    <row r="830" spans="1:6" x14ac:dyDescent="0.3">
      <c r="A830" s="19">
        <v>42508</v>
      </c>
      <c r="B830" s="20">
        <v>444.33429999999998</v>
      </c>
      <c r="C830" s="19">
        <v>42538</v>
      </c>
      <c r="D830" s="20">
        <v>32.700400000000002</v>
      </c>
      <c r="F830" s="43"/>
    </row>
    <row r="831" spans="1:6" x14ac:dyDescent="0.3">
      <c r="A831" s="19">
        <v>42509</v>
      </c>
      <c r="B831" s="20">
        <v>441.4427</v>
      </c>
      <c r="C831" s="19">
        <v>42541</v>
      </c>
      <c r="D831" s="20">
        <v>32.714300000000001</v>
      </c>
      <c r="F831" s="43"/>
    </row>
    <row r="832" spans="1:6" x14ac:dyDescent="0.3">
      <c r="A832" s="19">
        <v>42510</v>
      </c>
      <c r="B832" s="20">
        <v>439.9973</v>
      </c>
      <c r="C832" s="19">
        <v>42542</v>
      </c>
      <c r="D832" s="20">
        <v>32.727800000000002</v>
      </c>
      <c r="F832" s="43"/>
    </row>
    <row r="833" spans="1:6" x14ac:dyDescent="0.3">
      <c r="A833" s="19">
        <v>42513</v>
      </c>
      <c r="B833" s="20">
        <v>438.7414</v>
      </c>
      <c r="C833" s="19">
        <v>42543</v>
      </c>
      <c r="D833" s="20">
        <v>32.756399999999999</v>
      </c>
      <c r="F833" s="43"/>
    </row>
    <row r="834" spans="1:6" x14ac:dyDescent="0.3">
      <c r="A834" s="19">
        <v>42514</v>
      </c>
      <c r="B834" s="20">
        <v>438.4205</v>
      </c>
      <c r="C834" s="19">
        <v>42544</v>
      </c>
      <c r="D834" s="20">
        <v>32.770000000000003</v>
      </c>
      <c r="F834" s="43"/>
    </row>
    <row r="835" spans="1:6" x14ac:dyDescent="0.3">
      <c r="A835" s="19">
        <v>42515</v>
      </c>
      <c r="B835" s="20">
        <v>446.27629999999999</v>
      </c>
      <c r="C835" s="19">
        <v>42545</v>
      </c>
      <c r="D835" s="20">
        <v>32.775199999999998</v>
      </c>
      <c r="F835" s="43"/>
    </row>
    <row r="836" spans="1:6" x14ac:dyDescent="0.3">
      <c r="A836" s="19">
        <v>42516</v>
      </c>
      <c r="B836" s="20">
        <v>451.42680000000001</v>
      </c>
      <c r="C836" s="19">
        <v>42548</v>
      </c>
      <c r="D836" s="20">
        <v>32.8461</v>
      </c>
      <c r="F836" s="43"/>
    </row>
    <row r="837" spans="1:6" x14ac:dyDescent="0.3">
      <c r="A837" s="19">
        <v>42517</v>
      </c>
      <c r="B837" s="20">
        <v>454.22410000000002</v>
      </c>
      <c r="C837" s="19">
        <v>42549</v>
      </c>
      <c r="D837" s="20">
        <v>32.875399999999999</v>
      </c>
      <c r="F837" s="43"/>
    </row>
    <row r="838" spans="1:6" x14ac:dyDescent="0.3">
      <c r="A838" s="19">
        <v>42520</v>
      </c>
      <c r="B838" s="20">
        <v>455.58449999999999</v>
      </c>
      <c r="C838" s="19">
        <v>42550</v>
      </c>
      <c r="D838" s="20">
        <v>32.9131</v>
      </c>
      <c r="F838" s="43"/>
    </row>
    <row r="839" spans="1:6" x14ac:dyDescent="0.3">
      <c r="A839" s="19">
        <v>42521</v>
      </c>
      <c r="B839" s="20">
        <v>454.99310000000003</v>
      </c>
      <c r="C839" s="19">
        <v>42551</v>
      </c>
      <c r="D839" s="20">
        <v>32.915300000000002</v>
      </c>
      <c r="F839" s="43"/>
    </row>
    <row r="840" spans="1:6" x14ac:dyDescent="0.3">
      <c r="A840" s="19">
        <v>42522</v>
      </c>
      <c r="B840" s="20">
        <v>454.59039999999999</v>
      </c>
      <c r="C840" s="19">
        <v>42552</v>
      </c>
      <c r="D840" s="20">
        <v>32.981099999999998</v>
      </c>
      <c r="F840" s="43"/>
    </row>
    <row r="841" spans="1:6" x14ac:dyDescent="0.3">
      <c r="A841" s="19">
        <v>42523</v>
      </c>
      <c r="B841" s="20">
        <v>456.20639999999997</v>
      </c>
      <c r="C841" s="19">
        <v>42555</v>
      </c>
      <c r="D841" s="20">
        <v>32.994799999999998</v>
      </c>
      <c r="F841" s="43"/>
    </row>
    <row r="842" spans="1:6" x14ac:dyDescent="0.3">
      <c r="A842" s="19">
        <v>42524</v>
      </c>
      <c r="B842" s="20">
        <v>455.80340000000001</v>
      </c>
      <c r="C842" s="19">
        <v>42556</v>
      </c>
      <c r="D842" s="20">
        <v>33.081600000000002</v>
      </c>
      <c r="F842" s="43"/>
    </row>
    <row r="843" spans="1:6" x14ac:dyDescent="0.3">
      <c r="A843" s="19">
        <v>42527</v>
      </c>
      <c r="B843" s="20">
        <v>455.68430000000001</v>
      </c>
      <c r="C843" s="19">
        <v>42558</v>
      </c>
      <c r="D843" s="20">
        <v>33.122500000000002</v>
      </c>
      <c r="F843" s="43"/>
    </row>
    <row r="844" spans="1:6" x14ac:dyDescent="0.3">
      <c r="A844" s="19">
        <v>42528</v>
      </c>
      <c r="B844" s="20">
        <v>458.41149999999999</v>
      </c>
      <c r="C844" s="19">
        <v>42559</v>
      </c>
      <c r="D844" s="20">
        <v>33.160299999999999</v>
      </c>
      <c r="F844" s="43"/>
    </row>
    <row r="845" spans="1:6" x14ac:dyDescent="0.3">
      <c r="A845" s="19">
        <v>42529</v>
      </c>
      <c r="B845" s="20">
        <v>459.61869999999999</v>
      </c>
      <c r="C845" s="19">
        <v>42562</v>
      </c>
      <c r="D845" s="20">
        <v>33.189700000000002</v>
      </c>
      <c r="F845" s="43"/>
    </row>
    <row r="846" spans="1:6" x14ac:dyDescent="0.3">
      <c r="A846" s="19">
        <v>42530</v>
      </c>
      <c r="B846" s="20">
        <v>457.25360000000001</v>
      </c>
      <c r="C846" s="19">
        <v>42563</v>
      </c>
      <c r="D846" s="20">
        <v>33.295900000000003</v>
      </c>
      <c r="F846" s="43"/>
    </row>
    <row r="847" spans="1:6" x14ac:dyDescent="0.3">
      <c r="A847" s="19">
        <v>42531</v>
      </c>
      <c r="B847" s="20">
        <v>455.74700000000001</v>
      </c>
      <c r="C847" s="19">
        <v>42564</v>
      </c>
      <c r="D847" s="20">
        <v>33.4116</v>
      </c>
      <c r="F847" s="43"/>
    </row>
    <row r="848" spans="1:6" x14ac:dyDescent="0.3">
      <c r="A848" s="19">
        <v>42534</v>
      </c>
      <c r="B848" s="20">
        <v>453.02449999999999</v>
      </c>
      <c r="C848" s="19">
        <v>42565</v>
      </c>
      <c r="D848" s="20">
        <v>33.42</v>
      </c>
      <c r="F848" s="43"/>
    </row>
    <row r="849" spans="1:6" x14ac:dyDescent="0.3">
      <c r="A849" s="19">
        <v>42535</v>
      </c>
      <c r="B849" s="20">
        <v>453.13220000000001</v>
      </c>
      <c r="C849" s="19">
        <v>42566</v>
      </c>
      <c r="D849" s="20">
        <v>33.456299999999999</v>
      </c>
      <c r="F849" s="43"/>
    </row>
    <row r="850" spans="1:6" x14ac:dyDescent="0.3">
      <c r="A850" s="19">
        <v>42536</v>
      </c>
      <c r="B850" s="20">
        <v>457.5129</v>
      </c>
      <c r="C850" s="19">
        <v>42569</v>
      </c>
      <c r="D850" s="20">
        <v>33.436599999999999</v>
      </c>
      <c r="F850" s="43"/>
    </row>
    <row r="851" spans="1:6" x14ac:dyDescent="0.3">
      <c r="A851" s="19">
        <v>42537</v>
      </c>
      <c r="B851" s="20">
        <v>454.0958</v>
      </c>
      <c r="C851" s="19">
        <v>42570</v>
      </c>
      <c r="D851" s="20">
        <v>33.524900000000002</v>
      </c>
      <c r="F851" s="43"/>
    </row>
    <row r="852" spans="1:6" x14ac:dyDescent="0.3">
      <c r="A852" s="19">
        <v>42538</v>
      </c>
      <c r="B852" s="20">
        <v>455.47730000000001</v>
      </c>
      <c r="C852" s="19">
        <v>42571</v>
      </c>
      <c r="D852" s="20">
        <v>33.592100000000002</v>
      </c>
      <c r="F852" s="43"/>
    </row>
    <row r="853" spans="1:6" x14ac:dyDescent="0.3">
      <c r="A853" s="19">
        <v>42541</v>
      </c>
      <c r="B853" s="20">
        <v>458.06979999999999</v>
      </c>
      <c r="C853" s="19">
        <v>42572</v>
      </c>
      <c r="D853" s="20">
        <v>33.654499999999999</v>
      </c>
      <c r="F853" s="43"/>
    </row>
    <row r="854" spans="1:6" x14ac:dyDescent="0.3">
      <c r="A854" s="19">
        <v>42542</v>
      </c>
      <c r="B854" s="20">
        <v>458.21390000000002</v>
      </c>
      <c r="C854" s="19">
        <v>42573</v>
      </c>
      <c r="D854" s="20">
        <v>33.675899999999999</v>
      </c>
      <c r="F854" s="43"/>
    </row>
    <row r="855" spans="1:6" x14ac:dyDescent="0.3">
      <c r="A855" s="19">
        <v>42543</v>
      </c>
      <c r="B855" s="20">
        <v>458.05849999999998</v>
      </c>
      <c r="C855" s="19">
        <v>42576</v>
      </c>
      <c r="D855" s="20">
        <v>33.7117</v>
      </c>
      <c r="F855" s="43"/>
    </row>
    <row r="856" spans="1:6" x14ac:dyDescent="0.3">
      <c r="A856" s="19">
        <v>42544</v>
      </c>
      <c r="B856" s="20">
        <v>461.6234</v>
      </c>
      <c r="C856" s="19">
        <v>42577</v>
      </c>
      <c r="D856" s="20">
        <v>33.7226</v>
      </c>
      <c r="F856" s="43"/>
    </row>
    <row r="857" spans="1:6" x14ac:dyDescent="0.3">
      <c r="A857" s="19">
        <v>42545</v>
      </c>
      <c r="B857" s="20">
        <v>453.96190000000001</v>
      </c>
      <c r="C857" s="19">
        <v>42578</v>
      </c>
      <c r="D857" s="20">
        <v>33.728700000000003</v>
      </c>
      <c r="F857" s="43"/>
    </row>
    <row r="858" spans="1:6" x14ac:dyDescent="0.3">
      <c r="A858" s="19">
        <v>42548</v>
      </c>
      <c r="B858" s="20">
        <v>454.84469999999999</v>
      </c>
      <c r="C858" s="19">
        <v>42579</v>
      </c>
      <c r="D858" s="20">
        <v>33.969099999999997</v>
      </c>
      <c r="F858" s="43"/>
    </row>
    <row r="859" spans="1:6" x14ac:dyDescent="0.3">
      <c r="A859" s="19">
        <v>42549</v>
      </c>
      <c r="B859" s="20">
        <v>455.68610000000001</v>
      </c>
      <c r="C859" s="19">
        <v>42580</v>
      </c>
      <c r="D859" s="20">
        <v>34.043300000000002</v>
      </c>
      <c r="F859" s="43"/>
    </row>
    <row r="860" spans="1:6" x14ac:dyDescent="0.3">
      <c r="A860" s="19">
        <v>42550</v>
      </c>
      <c r="B860" s="20">
        <v>460.49520000000001</v>
      </c>
      <c r="C860" s="19">
        <v>42583</v>
      </c>
      <c r="D860" s="20">
        <v>34.151800000000001</v>
      </c>
      <c r="F860" s="43"/>
    </row>
    <row r="861" spans="1:6" x14ac:dyDescent="0.3">
      <c r="A861" s="19">
        <v>42551</v>
      </c>
      <c r="B861" s="20">
        <v>465.92790000000002</v>
      </c>
      <c r="C861" s="19">
        <v>42584</v>
      </c>
      <c r="D861" s="20">
        <v>34.074199999999998</v>
      </c>
      <c r="F861" s="43"/>
    </row>
    <row r="862" spans="1:6" x14ac:dyDescent="0.3">
      <c r="A862" s="19">
        <v>42552</v>
      </c>
      <c r="B862" s="20">
        <v>468.3177</v>
      </c>
      <c r="C862" s="19">
        <v>42585</v>
      </c>
      <c r="D862" s="20">
        <v>34.0077</v>
      </c>
      <c r="F862" s="43"/>
    </row>
    <row r="863" spans="1:6" x14ac:dyDescent="0.3">
      <c r="A863" s="19">
        <v>42555</v>
      </c>
      <c r="B863" s="20">
        <v>471.02769999999998</v>
      </c>
      <c r="C863" s="19">
        <v>42586</v>
      </c>
      <c r="D863" s="20">
        <v>34.078200000000002</v>
      </c>
      <c r="F863" s="43"/>
    </row>
    <row r="864" spans="1:6" x14ac:dyDescent="0.3">
      <c r="A864" s="19">
        <v>42556</v>
      </c>
      <c r="B864" s="20">
        <v>469.1694</v>
      </c>
      <c r="C864" s="19">
        <v>42587</v>
      </c>
      <c r="D864" s="20">
        <v>34.1</v>
      </c>
      <c r="F864" s="43"/>
    </row>
    <row r="865" spans="1:6" x14ac:dyDescent="0.3">
      <c r="A865" s="19">
        <v>42558</v>
      </c>
      <c r="B865" s="20">
        <v>468.96269999999998</v>
      </c>
      <c r="C865" s="19">
        <v>42590</v>
      </c>
      <c r="D865" s="20">
        <v>34.130800000000001</v>
      </c>
      <c r="F865" s="43"/>
    </row>
    <row r="866" spans="1:6" x14ac:dyDescent="0.3">
      <c r="A866" s="19">
        <v>42559</v>
      </c>
      <c r="B866" s="20">
        <v>469.00990000000002</v>
      </c>
      <c r="C866" s="19">
        <v>42591</v>
      </c>
      <c r="D866" s="20">
        <v>34.2789</v>
      </c>
      <c r="F866" s="43"/>
    </row>
    <row r="867" spans="1:6" x14ac:dyDescent="0.3">
      <c r="A867" s="19">
        <v>42562</v>
      </c>
      <c r="B867" s="20">
        <v>474.98149999999998</v>
      </c>
      <c r="C867" s="19">
        <v>42592</v>
      </c>
      <c r="D867" s="20">
        <v>34.376600000000003</v>
      </c>
      <c r="F867" s="43"/>
    </row>
    <row r="868" spans="1:6" x14ac:dyDescent="0.3">
      <c r="A868" s="19">
        <v>42563</v>
      </c>
      <c r="B868" s="20">
        <v>477.66739999999999</v>
      </c>
      <c r="C868" s="19">
        <v>42593</v>
      </c>
      <c r="D868" s="20">
        <v>34.453200000000002</v>
      </c>
      <c r="F868" s="43"/>
    </row>
    <row r="869" spans="1:6" x14ac:dyDescent="0.3">
      <c r="A869" s="19">
        <v>42564</v>
      </c>
      <c r="B869" s="20">
        <v>476.6696</v>
      </c>
      <c r="C869" s="19">
        <v>42594</v>
      </c>
      <c r="D869" s="20">
        <v>34.428400000000003</v>
      </c>
      <c r="F869" s="43"/>
    </row>
    <row r="870" spans="1:6" x14ac:dyDescent="0.3">
      <c r="A870" s="19">
        <v>42565</v>
      </c>
      <c r="B870" s="20">
        <v>478.98880000000003</v>
      </c>
      <c r="C870" s="19">
        <v>42598</v>
      </c>
      <c r="D870" s="20">
        <v>34.426600000000001</v>
      </c>
      <c r="F870" s="43"/>
    </row>
    <row r="871" spans="1:6" x14ac:dyDescent="0.3">
      <c r="A871" s="19">
        <v>42566</v>
      </c>
      <c r="B871" s="20">
        <v>478.25139999999999</v>
      </c>
      <c r="C871" s="19">
        <v>42600</v>
      </c>
      <c r="D871" s="20">
        <v>34.317900000000002</v>
      </c>
      <c r="F871" s="43"/>
    </row>
    <row r="872" spans="1:6" x14ac:dyDescent="0.3">
      <c r="A872" s="19">
        <v>42569</v>
      </c>
      <c r="B872" s="20">
        <v>476.26799999999997</v>
      </c>
      <c r="C872" s="19">
        <v>42601</v>
      </c>
      <c r="D872" s="20">
        <v>34.424599999999998</v>
      </c>
      <c r="F872" s="43"/>
    </row>
    <row r="873" spans="1:6" x14ac:dyDescent="0.3">
      <c r="A873" s="19">
        <v>42570</v>
      </c>
      <c r="B873" s="20">
        <v>476.4599</v>
      </c>
      <c r="C873" s="19">
        <v>42604</v>
      </c>
      <c r="D873" s="20">
        <v>34.292000000000002</v>
      </c>
      <c r="F873" s="43"/>
    </row>
    <row r="874" spans="1:6" x14ac:dyDescent="0.3">
      <c r="A874" s="19">
        <v>42571</v>
      </c>
      <c r="B874" s="20">
        <v>478.68869999999998</v>
      </c>
      <c r="C874" s="19">
        <v>42605</v>
      </c>
      <c r="D874" s="20">
        <v>34.314900000000002</v>
      </c>
      <c r="F874" s="43"/>
    </row>
    <row r="875" spans="1:6" x14ac:dyDescent="0.3">
      <c r="A875" s="19">
        <v>42572</v>
      </c>
      <c r="B875" s="20">
        <v>477.25290000000001</v>
      </c>
      <c r="C875" s="19">
        <v>42606</v>
      </c>
      <c r="D875" s="20">
        <v>34.382300000000001</v>
      </c>
      <c r="F875" s="43"/>
    </row>
    <row r="876" spans="1:6" x14ac:dyDescent="0.3">
      <c r="A876" s="19">
        <v>42573</v>
      </c>
      <c r="B876" s="20">
        <v>478.91469999999998</v>
      </c>
      <c r="C876" s="19">
        <v>42607</v>
      </c>
      <c r="D876" s="20">
        <v>34.429600000000001</v>
      </c>
      <c r="F876" s="43"/>
    </row>
    <row r="877" spans="1:6" x14ac:dyDescent="0.3">
      <c r="A877" s="19">
        <v>42576</v>
      </c>
      <c r="B877" s="20">
        <v>482.99169999999998</v>
      </c>
      <c r="C877" s="19">
        <v>42608</v>
      </c>
      <c r="D877" s="20">
        <v>34.438600000000001</v>
      </c>
      <c r="F877" s="43"/>
    </row>
    <row r="878" spans="1:6" x14ac:dyDescent="0.3">
      <c r="A878" s="19">
        <v>42577</v>
      </c>
      <c r="B878" s="20">
        <v>480.62689999999998</v>
      </c>
      <c r="C878" s="19">
        <v>42611</v>
      </c>
      <c r="D878" s="20">
        <v>34.497599999999998</v>
      </c>
      <c r="F878" s="43"/>
    </row>
    <row r="879" spans="1:6" x14ac:dyDescent="0.3">
      <c r="A879" s="19">
        <v>42578</v>
      </c>
      <c r="B879" s="20">
        <v>480.27210000000002</v>
      </c>
      <c r="C879" s="19">
        <v>42612</v>
      </c>
      <c r="D879" s="20">
        <v>34.527099999999997</v>
      </c>
      <c r="F879" s="43"/>
    </row>
    <row r="880" spans="1:6" x14ac:dyDescent="0.3">
      <c r="A880" s="19">
        <v>42579</v>
      </c>
      <c r="B880" s="20">
        <v>481.529</v>
      </c>
      <c r="C880" s="19">
        <v>42613</v>
      </c>
      <c r="D880" s="20">
        <v>34.526800000000001</v>
      </c>
      <c r="F880" s="43"/>
    </row>
    <row r="881" spans="1:6" x14ac:dyDescent="0.3">
      <c r="A881" s="19">
        <v>42580</v>
      </c>
      <c r="B881" s="20">
        <v>480.80919999999998</v>
      </c>
      <c r="C881" s="19">
        <v>42614</v>
      </c>
      <c r="D881" s="20">
        <v>34.511200000000002</v>
      </c>
      <c r="F881" s="43"/>
    </row>
    <row r="882" spans="1:6" x14ac:dyDescent="0.3">
      <c r="A882" s="19">
        <v>42583</v>
      </c>
      <c r="B882" s="20">
        <v>480.63130000000001</v>
      </c>
      <c r="C882" s="19">
        <v>42615</v>
      </c>
      <c r="D882" s="20">
        <v>34.499499999999998</v>
      </c>
      <c r="F882" s="43"/>
    </row>
    <row r="883" spans="1:6" x14ac:dyDescent="0.3">
      <c r="A883" s="19">
        <v>42584</v>
      </c>
      <c r="B883" s="20">
        <v>479.38549999999998</v>
      </c>
      <c r="C883" s="19">
        <v>42619</v>
      </c>
      <c r="D883" s="20">
        <v>34.5623</v>
      </c>
      <c r="F883" s="43"/>
    </row>
    <row r="884" spans="1:6" x14ac:dyDescent="0.3">
      <c r="A884" s="19">
        <v>42585</v>
      </c>
      <c r="B884" s="20">
        <v>475.66629999999998</v>
      </c>
      <c r="C884" s="19">
        <v>42620</v>
      </c>
      <c r="D884" s="20">
        <v>34.670299999999997</v>
      </c>
      <c r="F884" s="43"/>
    </row>
    <row r="885" spans="1:6" x14ac:dyDescent="0.3">
      <c r="A885" s="19">
        <v>42586</v>
      </c>
      <c r="B885" s="20">
        <v>476.55220000000003</v>
      </c>
      <c r="C885" s="19">
        <v>42621</v>
      </c>
      <c r="D885" s="20">
        <v>34.685200000000002</v>
      </c>
      <c r="F885" s="43"/>
    </row>
    <row r="886" spans="1:6" x14ac:dyDescent="0.3">
      <c r="A886" s="19">
        <v>42587</v>
      </c>
      <c r="B886" s="20">
        <v>483.93060000000003</v>
      </c>
      <c r="C886" s="19">
        <v>42622</v>
      </c>
      <c r="D886" s="20">
        <v>34.664499999999997</v>
      </c>
      <c r="F886" s="43"/>
    </row>
    <row r="887" spans="1:6" x14ac:dyDescent="0.3">
      <c r="A887" s="19">
        <v>42590</v>
      </c>
      <c r="B887" s="20">
        <v>485.93959999999998</v>
      </c>
      <c r="C887" s="19">
        <v>42625</v>
      </c>
      <c r="D887" s="20">
        <v>34.608400000000003</v>
      </c>
      <c r="F887" s="43"/>
    </row>
    <row r="888" spans="1:6" x14ac:dyDescent="0.3">
      <c r="A888" s="19">
        <v>42591</v>
      </c>
      <c r="B888" s="20">
        <v>484.38479999999998</v>
      </c>
      <c r="C888" s="19">
        <v>42627</v>
      </c>
      <c r="D888" s="20">
        <v>34.612699999999997</v>
      </c>
      <c r="F888" s="43"/>
    </row>
    <row r="889" spans="1:6" x14ac:dyDescent="0.3">
      <c r="A889" s="19">
        <v>42592</v>
      </c>
      <c r="B889" s="20">
        <v>478.40530000000001</v>
      </c>
      <c r="C889" s="19">
        <v>42628</v>
      </c>
      <c r="D889" s="20">
        <v>34.6372</v>
      </c>
      <c r="F889" s="43"/>
    </row>
    <row r="890" spans="1:6" x14ac:dyDescent="0.3">
      <c r="A890" s="19">
        <v>42593</v>
      </c>
      <c r="B890" s="20">
        <v>478.56450000000001</v>
      </c>
      <c r="C890" s="19">
        <v>42629</v>
      </c>
      <c r="D890" s="20">
        <v>34.6755</v>
      </c>
      <c r="F890" s="43"/>
    </row>
    <row r="891" spans="1:6" x14ac:dyDescent="0.3">
      <c r="A891" s="19">
        <v>42594</v>
      </c>
      <c r="B891" s="20">
        <v>481.10390000000001</v>
      </c>
      <c r="C891" s="19">
        <v>42632</v>
      </c>
      <c r="D891" s="20">
        <v>34.686799999999998</v>
      </c>
      <c r="F891" s="43"/>
    </row>
    <row r="892" spans="1:6" x14ac:dyDescent="0.3">
      <c r="A892" s="19">
        <v>42598</v>
      </c>
      <c r="B892" s="20">
        <v>480.86250000000001</v>
      </c>
      <c r="C892" s="19">
        <v>42633</v>
      </c>
      <c r="D892" s="20">
        <v>34.651200000000003</v>
      </c>
      <c r="F892" s="43"/>
    </row>
    <row r="893" spans="1:6" x14ac:dyDescent="0.3">
      <c r="A893" s="19">
        <v>42599</v>
      </c>
      <c r="B893" s="20">
        <v>481.59429999999998</v>
      </c>
      <c r="C893" s="19">
        <v>42634</v>
      </c>
      <c r="D893" s="20">
        <v>34.716500000000003</v>
      </c>
      <c r="F893" s="43"/>
    </row>
    <row r="894" spans="1:6" x14ac:dyDescent="0.3">
      <c r="A894" s="19">
        <v>42600</v>
      </c>
      <c r="B894" s="20">
        <v>486.18079999999998</v>
      </c>
      <c r="C894" s="19">
        <v>42635</v>
      </c>
      <c r="D894" s="20">
        <v>34.877200000000002</v>
      </c>
      <c r="F894" s="43"/>
    </row>
    <row r="895" spans="1:6" x14ac:dyDescent="0.3">
      <c r="A895" s="19">
        <v>42601</v>
      </c>
      <c r="B895" s="20">
        <v>486.79410000000001</v>
      </c>
      <c r="C895" s="19">
        <v>42636</v>
      </c>
      <c r="D895" s="20">
        <v>34.918300000000002</v>
      </c>
      <c r="F895" s="43"/>
    </row>
    <row r="896" spans="1:6" x14ac:dyDescent="0.3">
      <c r="A896" s="19">
        <v>42604</v>
      </c>
      <c r="B896" s="20">
        <v>484.12759999999997</v>
      </c>
      <c r="C896" s="19">
        <v>42639</v>
      </c>
      <c r="D896" s="20">
        <v>35.052500000000002</v>
      </c>
      <c r="F896" s="43"/>
    </row>
    <row r="897" spans="1:6" x14ac:dyDescent="0.3">
      <c r="A897" s="19">
        <v>42605</v>
      </c>
      <c r="B897" s="20">
        <v>484.50799999999998</v>
      </c>
      <c r="C897" s="19">
        <v>42640</v>
      </c>
      <c r="D897" s="20">
        <v>35.108600000000003</v>
      </c>
      <c r="F897" s="43"/>
    </row>
    <row r="898" spans="1:6" x14ac:dyDescent="0.3">
      <c r="A898" s="19">
        <v>42606</v>
      </c>
      <c r="B898" s="20">
        <v>486.35610000000003</v>
      </c>
      <c r="C898" s="19">
        <v>42641</v>
      </c>
      <c r="D898" s="20">
        <v>35.164299999999997</v>
      </c>
      <c r="F898" s="43"/>
    </row>
    <row r="899" spans="1:6" x14ac:dyDescent="0.3">
      <c r="A899" s="19">
        <v>42607</v>
      </c>
      <c r="B899" s="20">
        <v>483.80360000000002</v>
      </c>
      <c r="C899" s="19">
        <v>42642</v>
      </c>
      <c r="D899" s="20">
        <v>34.917299999999997</v>
      </c>
      <c r="F899" s="43"/>
    </row>
    <row r="900" spans="1:6" x14ac:dyDescent="0.3">
      <c r="A900" s="19">
        <v>42608</v>
      </c>
      <c r="B900" s="20">
        <v>482.5686</v>
      </c>
      <c r="C900" s="19">
        <v>42643</v>
      </c>
      <c r="D900" s="20">
        <v>35.033299999999997</v>
      </c>
      <c r="F900" s="43"/>
    </row>
    <row r="901" spans="1:6" x14ac:dyDescent="0.3">
      <c r="A901" s="19">
        <v>42611</v>
      </c>
      <c r="B901" s="20">
        <v>484.10340000000002</v>
      </c>
      <c r="C901" s="19">
        <v>42646</v>
      </c>
      <c r="D901" s="20">
        <v>35.186599999999999</v>
      </c>
      <c r="F901" s="43"/>
    </row>
    <row r="902" spans="1:6" x14ac:dyDescent="0.3">
      <c r="A902" s="19">
        <v>42612</v>
      </c>
      <c r="B902" s="20">
        <v>489.44279999999998</v>
      </c>
      <c r="C902" s="19">
        <v>42647</v>
      </c>
      <c r="D902" s="20">
        <v>35.276499999999999</v>
      </c>
      <c r="F902" s="43"/>
    </row>
    <row r="903" spans="1:6" x14ac:dyDescent="0.3">
      <c r="A903" s="19">
        <v>42613</v>
      </c>
      <c r="B903" s="20">
        <v>492.24310000000003</v>
      </c>
      <c r="C903" s="19">
        <v>42648</v>
      </c>
      <c r="D903" s="20">
        <v>35.410400000000003</v>
      </c>
      <c r="F903" s="43"/>
    </row>
    <row r="904" spans="1:6" x14ac:dyDescent="0.3">
      <c r="A904" s="19">
        <v>42614</v>
      </c>
      <c r="B904" s="20">
        <v>490.3578</v>
      </c>
      <c r="C904" s="19">
        <v>42649</v>
      </c>
      <c r="D904" s="20">
        <v>35.353999999999999</v>
      </c>
      <c r="F904" s="43"/>
    </row>
    <row r="905" spans="1:6" x14ac:dyDescent="0.3">
      <c r="A905" s="19">
        <v>42615</v>
      </c>
      <c r="B905" s="20">
        <v>493.51240000000001</v>
      </c>
      <c r="C905" s="19">
        <v>42650</v>
      </c>
      <c r="D905" s="20">
        <v>35.275199999999998</v>
      </c>
      <c r="F905" s="43"/>
    </row>
    <row r="906" spans="1:6" x14ac:dyDescent="0.3">
      <c r="A906" s="19">
        <v>42619</v>
      </c>
      <c r="B906" s="20">
        <v>500.44630000000001</v>
      </c>
      <c r="C906" s="19">
        <v>42653</v>
      </c>
      <c r="D906" s="20">
        <v>35.355800000000002</v>
      </c>
      <c r="F906" s="43"/>
    </row>
    <row r="907" spans="1:6" x14ac:dyDescent="0.3">
      <c r="A907" s="19">
        <v>42620</v>
      </c>
      <c r="B907" s="20">
        <v>499.44869999999997</v>
      </c>
      <c r="C907" s="19">
        <v>42656</v>
      </c>
      <c r="D907" s="20">
        <v>35.327599999999997</v>
      </c>
      <c r="F907" s="43"/>
    </row>
    <row r="908" spans="1:6" x14ac:dyDescent="0.3">
      <c r="A908" s="19">
        <v>42621</v>
      </c>
      <c r="B908" s="20">
        <v>500.85509999999999</v>
      </c>
      <c r="C908" s="19">
        <v>42657</v>
      </c>
      <c r="D908" s="20">
        <v>35.271799999999999</v>
      </c>
    </row>
    <row r="909" spans="1:6" x14ac:dyDescent="0.3">
      <c r="A909" s="19">
        <v>42622</v>
      </c>
      <c r="B909" s="20">
        <v>496.67509999999999</v>
      </c>
      <c r="C909" s="19">
        <v>42660</v>
      </c>
      <c r="D909" s="20">
        <v>35.3005</v>
      </c>
    </row>
    <row r="910" spans="1:6" x14ac:dyDescent="0.3">
      <c r="A910" s="19">
        <v>42625</v>
      </c>
      <c r="B910" s="20">
        <v>487.43439999999998</v>
      </c>
      <c r="C910" s="19">
        <v>42661</v>
      </c>
      <c r="D910" s="20">
        <v>35.373800000000003</v>
      </c>
    </row>
    <row r="911" spans="1:6" x14ac:dyDescent="0.3">
      <c r="A911" s="19">
        <v>42627</v>
      </c>
      <c r="B911" s="20">
        <v>489.42059999999998</v>
      </c>
      <c r="C911" s="19">
        <v>42662</v>
      </c>
      <c r="D911" s="20">
        <v>35.354100000000003</v>
      </c>
    </row>
    <row r="912" spans="1:6" x14ac:dyDescent="0.3">
      <c r="A912" s="19">
        <v>42628</v>
      </c>
      <c r="B912" s="20">
        <v>489.00639999999999</v>
      </c>
      <c r="C912" s="19">
        <v>42663</v>
      </c>
      <c r="D912" s="20">
        <v>35.3155</v>
      </c>
    </row>
    <row r="913" spans="1:4" x14ac:dyDescent="0.3">
      <c r="A913" s="19">
        <v>42629</v>
      </c>
      <c r="B913" s="20">
        <v>489.25630000000001</v>
      </c>
      <c r="C913" s="19">
        <v>42664</v>
      </c>
      <c r="D913" s="20">
        <v>35.3249</v>
      </c>
    </row>
    <row r="914" spans="1:4" x14ac:dyDescent="0.3">
      <c r="A914" s="19">
        <v>42632</v>
      </c>
      <c r="B914" s="20">
        <v>491.62099999999998</v>
      </c>
      <c r="C914" s="19">
        <v>42667</v>
      </c>
      <c r="D914" s="20">
        <v>35.335799999999999</v>
      </c>
    </row>
    <row r="915" spans="1:4" x14ac:dyDescent="0.3">
      <c r="A915" s="19">
        <v>42633</v>
      </c>
      <c r="B915" s="20">
        <v>489.75799999999998</v>
      </c>
      <c r="C915" s="19">
        <v>42668</v>
      </c>
      <c r="D915" s="20">
        <v>35.314700000000002</v>
      </c>
    </row>
    <row r="916" spans="1:4" x14ac:dyDescent="0.3">
      <c r="A916" s="19">
        <v>42634</v>
      </c>
      <c r="B916" s="20">
        <v>489.4042</v>
      </c>
      <c r="C916" s="19">
        <v>42669</v>
      </c>
      <c r="D916" s="20">
        <v>35.325000000000003</v>
      </c>
    </row>
    <row r="917" spans="1:4" x14ac:dyDescent="0.3">
      <c r="A917" s="19">
        <v>42635</v>
      </c>
      <c r="B917" s="20">
        <v>494.11500000000001</v>
      </c>
      <c r="C917" s="19">
        <v>42670</v>
      </c>
      <c r="D917" s="20">
        <v>35.285499999999999</v>
      </c>
    </row>
    <row r="918" spans="1:4" x14ac:dyDescent="0.3">
      <c r="A918" s="19">
        <v>42636</v>
      </c>
      <c r="B918" s="20">
        <v>492.65649999999999</v>
      </c>
      <c r="C918" s="19">
        <v>42671</v>
      </c>
      <c r="D918" s="20">
        <v>35.2926</v>
      </c>
    </row>
    <row r="919" spans="1:4" x14ac:dyDescent="0.3">
      <c r="A919" s="19">
        <v>42639</v>
      </c>
      <c r="B919" s="20">
        <v>488.41669999999999</v>
      </c>
      <c r="C919" s="19">
        <v>42675</v>
      </c>
      <c r="D919" s="20">
        <v>35.250300000000003</v>
      </c>
    </row>
    <row r="920" spans="1:4" x14ac:dyDescent="0.3">
      <c r="A920" s="19">
        <v>42640</v>
      </c>
      <c r="B920" s="20">
        <v>487.45760000000001</v>
      </c>
      <c r="C920" s="19">
        <v>42676</v>
      </c>
      <c r="D920" s="20">
        <v>35.267000000000003</v>
      </c>
    </row>
    <row r="921" spans="1:4" x14ac:dyDescent="0.3">
      <c r="A921" s="19">
        <v>42641</v>
      </c>
      <c r="B921" s="20">
        <v>490.76859999999999</v>
      </c>
      <c r="C921" s="19">
        <v>42677</v>
      </c>
      <c r="D921" s="20">
        <v>35.258000000000003</v>
      </c>
    </row>
    <row r="922" spans="1:4" x14ac:dyDescent="0.3">
      <c r="A922" s="19">
        <v>42642</v>
      </c>
      <c r="B922" s="20">
        <v>481.18759999999997</v>
      </c>
      <c r="C922" s="19">
        <v>42678</v>
      </c>
      <c r="D922" s="20">
        <v>35.215800000000002</v>
      </c>
    </row>
    <row r="923" spans="1:4" x14ac:dyDescent="0.3">
      <c r="A923" s="19">
        <v>42643</v>
      </c>
      <c r="B923" s="20">
        <v>485.81639999999999</v>
      </c>
      <c r="C923" s="19">
        <v>42681</v>
      </c>
      <c r="D923" s="20">
        <v>35.238999999999997</v>
      </c>
    </row>
    <row r="924" spans="1:4" x14ac:dyDescent="0.3">
      <c r="A924" s="19">
        <v>42646</v>
      </c>
      <c r="B924" s="20">
        <v>492.21039999999999</v>
      </c>
    </row>
    <row r="925" spans="1:4" x14ac:dyDescent="0.3">
      <c r="A925" s="19">
        <v>42647</v>
      </c>
      <c r="B925" s="20">
        <v>495.54070000000002</v>
      </c>
    </row>
    <row r="926" spans="1:4" x14ac:dyDescent="0.3">
      <c r="A926" s="19">
        <v>42648</v>
      </c>
      <c r="B926" s="20">
        <v>496.07119999999998</v>
      </c>
    </row>
    <row r="927" spans="1:4" x14ac:dyDescent="0.3">
      <c r="A927" s="19">
        <v>42649</v>
      </c>
      <c r="B927" s="20">
        <v>494.3399</v>
      </c>
    </row>
    <row r="928" spans="1:4" x14ac:dyDescent="0.3">
      <c r="A928" s="19">
        <v>42650</v>
      </c>
      <c r="B928" s="20">
        <v>493.81729999999999</v>
      </c>
    </row>
    <row r="929" spans="1:2" x14ac:dyDescent="0.3">
      <c r="A929" s="19">
        <v>42653</v>
      </c>
      <c r="B929" s="20">
        <v>494.35570000000001</v>
      </c>
    </row>
    <row r="930" spans="1:2" x14ac:dyDescent="0.3">
      <c r="A930" s="19">
        <v>42656</v>
      </c>
      <c r="B930" s="20">
        <v>488.30369999999999</v>
      </c>
    </row>
    <row r="931" spans="1:2" x14ac:dyDescent="0.3">
      <c r="A931" s="19">
        <v>42657</v>
      </c>
      <c r="B931" s="20">
        <v>489.59949999999998</v>
      </c>
    </row>
    <row r="932" spans="1:2" x14ac:dyDescent="0.3">
      <c r="A932" s="19">
        <v>42660</v>
      </c>
      <c r="B932" s="20">
        <v>486.17430000000002</v>
      </c>
    </row>
    <row r="933" spans="1:2" x14ac:dyDescent="0.3">
      <c r="A933" s="19">
        <v>42661</v>
      </c>
      <c r="B933" s="20">
        <v>492.56420000000003</v>
      </c>
    </row>
    <row r="934" spans="1:2" x14ac:dyDescent="0.3">
      <c r="A934" s="19">
        <v>42662</v>
      </c>
      <c r="B934" s="20">
        <v>492.07589999999999</v>
      </c>
    </row>
    <row r="935" spans="1:2" x14ac:dyDescent="0.3">
      <c r="A935" s="19">
        <v>42663</v>
      </c>
      <c r="B935" s="20">
        <v>493.90219999999999</v>
      </c>
    </row>
    <row r="936" spans="1:2" x14ac:dyDescent="0.3">
      <c r="A936" s="19">
        <v>42664</v>
      </c>
      <c r="B936" s="20">
        <v>495.69909999999999</v>
      </c>
    </row>
    <row r="937" spans="1:2" x14ac:dyDescent="0.3">
      <c r="A937" s="19">
        <v>42667</v>
      </c>
      <c r="B937" s="20">
        <v>496.1103</v>
      </c>
    </row>
    <row r="938" spans="1:2" x14ac:dyDescent="0.3">
      <c r="A938" s="19">
        <v>42668</v>
      </c>
      <c r="B938" s="20">
        <v>498.22919999999999</v>
      </c>
    </row>
    <row r="939" spans="1:2" x14ac:dyDescent="0.3">
      <c r="A939" s="19">
        <v>42669</v>
      </c>
      <c r="B939" s="20">
        <v>493.64240000000001</v>
      </c>
    </row>
  </sheetData>
  <mergeCells count="3">
    <mergeCell ref="A1:B1"/>
    <mergeCell ref="C1:D1"/>
    <mergeCell ref="E1:G1"/>
  </mergeCells>
  <conditionalFormatting sqref="C2:D2">
    <cfRule type="colorScale" priority="2">
      <colorScale>
        <cfvo type="min"/>
        <cfvo type="percentile" val="50"/>
        <cfvo type="max"/>
        <color rgb="FFF8696B"/>
        <color rgb="FFFFEB84"/>
        <color rgb="FF63BE7B"/>
      </colorScale>
    </cfRule>
  </conditionalFormatting>
  <conditionalFormatting sqref="E1:F1 E3:F3 E52:F907">
    <cfRule type="colorScale" priority="1">
      <colorScale>
        <cfvo type="min"/>
        <cfvo type="percentile" val="50"/>
        <cfvo type="max"/>
        <color rgb="FFF8696B"/>
        <color rgb="FFFFEB84"/>
        <color rgb="FF63BE7B"/>
      </colorScale>
    </cfRule>
  </conditionalFormatting>
  <conditionalFormatting sqref="G2">
    <cfRule type="colorScale" priority="3">
      <colorScale>
        <cfvo type="min"/>
        <cfvo type="percentile" val="50"/>
        <cfvo type="max"/>
        <color rgb="FFF8696B"/>
        <color rgb="FFFFEB84"/>
        <color rgb="FF63BE7B"/>
      </colorScale>
    </cfRule>
  </conditionalFormatting>
  <conditionalFormatting sqref="G3">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63"/>
  <sheetViews>
    <sheetView zoomScale="83" zoomScaleNormal="110" workbookViewId="0">
      <selection activeCell="Z13" sqref="Z13"/>
    </sheetView>
  </sheetViews>
  <sheetFormatPr defaultRowHeight="14.4" x14ac:dyDescent="0.3"/>
  <cols>
    <col min="1" max="1" width="13.33203125" bestFit="1" customWidth="1"/>
    <col min="2" max="2" width="9.77734375" style="14" bestFit="1" customWidth="1"/>
    <col min="3" max="3" width="9.109375" bestFit="1" customWidth="1"/>
    <col min="4" max="4" width="14.88671875" customWidth="1"/>
    <col min="5" max="5" width="14.88671875" bestFit="1" customWidth="1"/>
    <col min="6" max="6" width="13.88671875" bestFit="1" customWidth="1"/>
    <col min="7" max="7" width="14.88671875" bestFit="1" customWidth="1"/>
    <col min="8" max="8" width="9" bestFit="1" customWidth="1"/>
    <col min="9" max="9" width="9.44140625" bestFit="1" customWidth="1"/>
    <col min="10" max="10" width="14.44140625" bestFit="1" customWidth="1"/>
    <col min="11" max="11" width="11.88671875" customWidth="1"/>
    <col min="12" max="12" width="9.109375" bestFit="1" customWidth="1"/>
    <col min="13" max="13" width="13.33203125" bestFit="1" customWidth="1"/>
    <col min="14" max="15" width="14.88671875" bestFit="1" customWidth="1"/>
    <col min="16" max="16" width="9.88671875" bestFit="1" customWidth="1"/>
    <col min="19" max="24" width="9.109375" bestFit="1" customWidth="1"/>
    <col min="25" max="25" width="9.88671875" bestFit="1" customWidth="1"/>
  </cols>
  <sheetData>
    <row r="1" spans="1:25" x14ac:dyDescent="0.3">
      <c r="I1" s="7"/>
      <c r="J1" s="7"/>
      <c r="K1" s="7" t="s">
        <v>107</v>
      </c>
      <c r="L1" s="7"/>
      <c r="M1" s="7"/>
      <c r="N1" s="7"/>
      <c r="O1" s="7"/>
      <c r="P1" s="7"/>
      <c r="R1" s="7"/>
      <c r="S1" s="7"/>
      <c r="T1" s="7" t="s">
        <v>88</v>
      </c>
      <c r="U1" s="7"/>
      <c r="V1" s="7"/>
      <c r="W1" s="7"/>
      <c r="X1" s="7"/>
      <c r="Y1" s="7"/>
    </row>
    <row r="2" spans="1:25" x14ac:dyDescent="0.3">
      <c r="F2" s="2" t="s">
        <v>106</v>
      </c>
      <c r="G2" s="2">
        <v>15000</v>
      </c>
      <c r="I2" s="7"/>
      <c r="J2" s="35">
        <f>G6</f>
        <v>0.16645596623420719</v>
      </c>
      <c r="K2" s="37">
        <v>0.5</v>
      </c>
      <c r="L2" s="37">
        <v>0.6</v>
      </c>
      <c r="M2" s="37">
        <v>0.7</v>
      </c>
      <c r="N2" s="37">
        <v>0.8</v>
      </c>
      <c r="O2" s="37">
        <v>0.9</v>
      </c>
      <c r="P2" s="37">
        <v>1</v>
      </c>
      <c r="R2" s="7"/>
      <c r="S2" s="35">
        <f>G6</f>
        <v>0.16645596623420719</v>
      </c>
      <c r="T2" s="37">
        <v>0.5</v>
      </c>
      <c r="U2" s="37">
        <v>0.6</v>
      </c>
      <c r="V2" s="37">
        <v>0.7</v>
      </c>
      <c r="W2" s="37">
        <v>0.8</v>
      </c>
      <c r="X2" s="37">
        <v>0.9</v>
      </c>
      <c r="Y2" s="37">
        <v>1</v>
      </c>
    </row>
    <row r="3" spans="1:25" x14ac:dyDescent="0.3">
      <c r="F3" s="2" t="s">
        <v>88</v>
      </c>
      <c r="G3" s="3">
        <v>0.5</v>
      </c>
      <c r="I3" s="7"/>
      <c r="J3" s="37">
        <v>0.5</v>
      </c>
      <c r="K3" s="37">
        <f t="dataTable" ref="K3:P8" dt2D="1" dtr="1" r1="G4" r2="G3"/>
        <v>0.16645596623420719</v>
      </c>
      <c r="L3" s="35">
        <v>0.16830156445503242</v>
      </c>
      <c r="M3" s="35">
        <v>0.16983584761619572</v>
      </c>
      <c r="N3" s="35">
        <v>0.17113143801689149</v>
      </c>
      <c r="O3" s="35">
        <v>0.17224004864692688</v>
      </c>
      <c r="P3" s="35">
        <v>0.1731994092464447</v>
      </c>
      <c r="R3" s="7"/>
      <c r="S3" s="37">
        <v>0.5</v>
      </c>
      <c r="T3" s="37">
        <f t="dataTable" ref="T3:Y8" dt2D="1" dtr="1" r1="G3" r2="G4" ca="1"/>
        <v>0.16645596623420719</v>
      </c>
      <c r="U3" s="35">
        <v>0.16184212565422063</v>
      </c>
      <c r="V3" s="35">
        <v>0.15797370076179507</v>
      </c>
      <c r="W3" s="35">
        <v>0.15468347668647769</v>
      </c>
      <c r="X3" s="35">
        <v>0.15185078978538516</v>
      </c>
      <c r="Y3" s="35">
        <v>0.14938636422157289</v>
      </c>
    </row>
    <row r="4" spans="1:25" x14ac:dyDescent="0.3">
      <c r="F4" s="2" t="s">
        <v>107</v>
      </c>
      <c r="G4" s="3">
        <v>0.5</v>
      </c>
      <c r="I4" s="7"/>
      <c r="J4" s="37">
        <v>0.4</v>
      </c>
      <c r="K4" s="35">
        <v>0.17205391526222227</v>
      </c>
      <c r="L4" s="37">
        <v>0.1735114276409149</v>
      </c>
      <c r="M4" s="35">
        <v>0.17470168471336364</v>
      </c>
      <c r="N4" s="35">
        <v>0.17569201588630678</v>
      </c>
      <c r="O4" s="35">
        <v>0.17652888894081117</v>
      </c>
      <c r="P4" s="35">
        <v>0.17724542021751405</v>
      </c>
      <c r="R4" s="7"/>
      <c r="S4" s="37">
        <v>0.4</v>
      </c>
      <c r="T4" s="35">
        <v>0.16419357657432557</v>
      </c>
      <c r="U4" s="37">
        <v>0.15932827591896062</v>
      </c>
      <c r="V4" s="35">
        <v>0.15532203316688545</v>
      </c>
      <c r="W4" s="35">
        <v>0.15196571946144105</v>
      </c>
      <c r="X4" s="35">
        <v>0.14911296963691714</v>
      </c>
      <c r="Y4" s="35">
        <v>0.14665834307670594</v>
      </c>
    </row>
    <row r="5" spans="1:25" x14ac:dyDescent="0.3">
      <c r="F5" s="2" t="s">
        <v>108</v>
      </c>
      <c r="G5" s="36">
        <f>N60</f>
        <v>957903.05806075805</v>
      </c>
      <c r="I5" s="7" t="s">
        <v>88</v>
      </c>
      <c r="J5" s="37">
        <v>0.3</v>
      </c>
      <c r="K5" s="35">
        <v>0.17898879647254948</v>
      </c>
      <c r="L5" s="35">
        <v>0.17982670664787295</v>
      </c>
      <c r="M5" s="37">
        <v>0.18049632906913757</v>
      </c>
      <c r="N5" s="38">
        <v>0.18104371428489691</v>
      </c>
      <c r="O5" s="35">
        <v>0.18149954676628113</v>
      </c>
      <c r="P5" s="35">
        <v>0.18188501000404364</v>
      </c>
      <c r="R5" s="7" t="s">
        <v>116</v>
      </c>
      <c r="S5" s="37">
        <v>0.3</v>
      </c>
      <c r="T5" s="35">
        <v>0.16135517954826359</v>
      </c>
      <c r="U5" s="35">
        <v>0.15624336600303654</v>
      </c>
      <c r="V5" s="37">
        <v>0.15212658047676086</v>
      </c>
      <c r="W5" s="38">
        <v>0.14873997569084171</v>
      </c>
      <c r="X5" s="35">
        <v>0.14590505957603458</v>
      </c>
      <c r="Y5" s="35">
        <v>0.14349715113639833</v>
      </c>
    </row>
    <row r="6" spans="1:25" x14ac:dyDescent="0.3">
      <c r="F6" s="2" t="s">
        <v>9</v>
      </c>
      <c r="G6" s="35">
        <f>N61</f>
        <v>0.16645596623420719</v>
      </c>
      <c r="I6" s="7"/>
      <c r="J6" s="37">
        <v>0.2</v>
      </c>
      <c r="K6" s="35">
        <v>0.18780537247657778</v>
      </c>
      <c r="L6" s="35">
        <v>0.18764161467552185</v>
      </c>
      <c r="M6" s="35">
        <v>0.18751421570777893</v>
      </c>
      <c r="N6" s="37">
        <v>0.18741227984428405</v>
      </c>
      <c r="O6" s="35">
        <v>0.18732888102531436</v>
      </c>
      <c r="P6" s="35">
        <v>0.18725935816764833</v>
      </c>
      <c r="R6" s="7"/>
      <c r="S6" s="37">
        <v>0.2</v>
      </c>
      <c r="T6" s="35">
        <v>0.15768869519233708</v>
      </c>
      <c r="U6" s="35">
        <v>0.15236781239509584</v>
      </c>
      <c r="V6" s="35">
        <v>0.14820086359977722</v>
      </c>
      <c r="W6" s="37">
        <v>0.1448490917682648</v>
      </c>
      <c r="X6" s="35">
        <v>0.14209455847740174</v>
      </c>
      <c r="Y6" s="35">
        <v>0.13979066014289854</v>
      </c>
    </row>
    <row r="7" spans="1:25" x14ac:dyDescent="0.3">
      <c r="I7" s="7"/>
      <c r="J7" s="37">
        <v>0.1</v>
      </c>
      <c r="K7" s="35">
        <v>0.19939151406288144</v>
      </c>
      <c r="L7" s="35">
        <v>0.19756341576576233</v>
      </c>
      <c r="M7" s="35">
        <v>0.19618924260139467</v>
      </c>
      <c r="N7" s="35">
        <v>0.19511857628822329</v>
      </c>
      <c r="O7" s="37">
        <v>0.19426087737083436</v>
      </c>
      <c r="P7" s="35">
        <v>0.19355834126472471</v>
      </c>
      <c r="R7" s="7"/>
      <c r="S7" s="37">
        <v>0.1</v>
      </c>
      <c r="T7" s="35">
        <v>0.15276966691017149</v>
      </c>
      <c r="U7" s="35">
        <v>0.14735282063484195</v>
      </c>
      <c r="V7" s="35">
        <v>0.14326208233833315</v>
      </c>
      <c r="W7" s="35">
        <v>0.14006351828575134</v>
      </c>
      <c r="X7" s="37">
        <v>0.13749391436576844</v>
      </c>
      <c r="Y7" s="35">
        <v>0.13538432717323309</v>
      </c>
    </row>
    <row r="8" spans="1:25" x14ac:dyDescent="0.3">
      <c r="I8" s="7"/>
      <c r="J8" s="37">
        <v>0</v>
      </c>
      <c r="K8" s="35">
        <v>0.21529983878135681</v>
      </c>
      <c r="L8" s="35">
        <v>0.21057948470115664</v>
      </c>
      <c r="M8" s="35">
        <v>0.20718851685523984</v>
      </c>
      <c r="N8" s="35">
        <v>0.2046346127986908</v>
      </c>
      <c r="O8" s="35">
        <v>0.20264186263084408</v>
      </c>
      <c r="P8" s="37">
        <v>0.20104361176490784</v>
      </c>
      <c r="R8" s="7"/>
      <c r="S8" s="37">
        <v>0</v>
      </c>
      <c r="T8" s="35">
        <v>0.14582371115684509</v>
      </c>
      <c r="U8" s="35">
        <v>0.14060892462730409</v>
      </c>
      <c r="V8" s="35">
        <v>0.13685972094535825</v>
      </c>
      <c r="W8" s="35">
        <v>0.13403431773185731</v>
      </c>
      <c r="X8" s="35">
        <v>0.13182870745658873</v>
      </c>
      <c r="Y8" s="37">
        <v>0.13005909323692319</v>
      </c>
    </row>
    <row r="10" spans="1:25" x14ac:dyDescent="0.3">
      <c r="A10" s="16"/>
      <c r="B10" s="34"/>
      <c r="C10" s="16" t="s">
        <v>107</v>
      </c>
      <c r="D10" s="16" t="s">
        <v>114</v>
      </c>
      <c r="E10" s="16" t="s">
        <v>115</v>
      </c>
      <c r="G10" s="16"/>
      <c r="H10" s="16"/>
      <c r="I10" s="16" t="s">
        <v>88</v>
      </c>
      <c r="J10" s="16"/>
      <c r="K10" s="16"/>
    </row>
    <row r="11" spans="1:25" x14ac:dyDescent="0.3">
      <c r="A11" s="16" t="s">
        <v>67</v>
      </c>
      <c r="B11" s="34" t="s">
        <v>86</v>
      </c>
      <c r="C11" s="16" t="s">
        <v>61</v>
      </c>
      <c r="D11" s="16" t="s">
        <v>106</v>
      </c>
      <c r="E11" s="16" t="s">
        <v>109</v>
      </c>
      <c r="G11" s="16" t="s">
        <v>67</v>
      </c>
      <c r="H11" s="16" t="s">
        <v>86</v>
      </c>
      <c r="I11" s="16" t="s">
        <v>61</v>
      </c>
      <c r="J11" s="16" t="s">
        <v>106</v>
      </c>
      <c r="K11" s="16" t="s">
        <v>109</v>
      </c>
      <c r="M11" s="16" t="s">
        <v>67</v>
      </c>
      <c r="N11" s="16" t="s">
        <v>110</v>
      </c>
      <c r="O11" s="16" t="s">
        <v>108</v>
      </c>
    </row>
    <row r="12" spans="1:25" x14ac:dyDescent="0.3">
      <c r="A12" s="12">
        <v>41275</v>
      </c>
      <c r="B12" s="33">
        <f>VLOOKUP(A12,'MF Data'!A:B,2,0)</f>
        <v>253.69139999999999</v>
      </c>
      <c r="C12" s="2"/>
      <c r="D12" s="33">
        <f>$G$2*$G$4*-1</f>
        <v>-7500</v>
      </c>
      <c r="E12" s="33">
        <v>7500</v>
      </c>
      <c r="F12" s="45"/>
      <c r="G12" s="12">
        <v>41275</v>
      </c>
      <c r="H12" s="33">
        <f>VLOOKUP(G12,'MF Data'!C:D,2,0)</f>
        <v>23.112300000000001</v>
      </c>
      <c r="I12" s="2"/>
      <c r="J12" s="33">
        <f>$G$2*$G$3*-1</f>
        <v>-7500</v>
      </c>
      <c r="K12" s="33">
        <v>7500</v>
      </c>
      <c r="M12" s="12">
        <v>41275</v>
      </c>
      <c r="N12" s="36">
        <f>D12+J12</f>
        <v>-15000</v>
      </c>
      <c r="O12" s="36">
        <f>E12+K12</f>
        <v>15000</v>
      </c>
    </row>
    <row r="13" spans="1:25" x14ac:dyDescent="0.3">
      <c r="A13" s="12">
        <v>41305</v>
      </c>
      <c r="B13" s="33">
        <f>VLOOKUP(A13,'MF Data'!A:B,2,0)</f>
        <v>255.75200000000001</v>
      </c>
      <c r="C13" s="35">
        <f>B13/B12-1</f>
        <v>8.122466902701575E-3</v>
      </c>
      <c r="D13" s="33">
        <f t="shared" ref="D13:D58" si="0">$G$2*$G$4*-1</f>
        <v>-7500</v>
      </c>
      <c r="E13" s="33">
        <f>E12*(1+C13)-D13</f>
        <v>15060.918501770262</v>
      </c>
      <c r="F13" s="45"/>
      <c r="G13" s="12">
        <v>41305</v>
      </c>
      <c r="H13" s="33">
        <f>VLOOKUP(G13,'MF Data'!C:D,2,0)</f>
        <v>23.3886</v>
      </c>
      <c r="I13" s="35">
        <f>H13/H12-1</f>
        <v>1.1954673485546685E-2</v>
      </c>
      <c r="J13" s="33">
        <f t="shared" ref="J13:J58" si="1">$G$2*$G$3*-1</f>
        <v>-7500</v>
      </c>
      <c r="K13" s="33">
        <f>K12*(1+I13)-J13</f>
        <v>15089.6600511416</v>
      </c>
      <c r="M13" s="12">
        <v>41305</v>
      </c>
      <c r="N13" s="36">
        <f t="shared" ref="N13:N60" si="2">D13+J13</f>
        <v>-15000</v>
      </c>
      <c r="O13" s="36">
        <f t="shared" ref="O13:O60" si="3">E13+K13</f>
        <v>30150.578552911862</v>
      </c>
    </row>
    <row r="14" spans="1:25" x14ac:dyDescent="0.3">
      <c r="A14" s="12">
        <v>41334</v>
      </c>
      <c r="B14" s="33">
        <f>VLOOKUP(A14,'MF Data'!A:B,2,0)</f>
        <v>241.04239999999999</v>
      </c>
      <c r="C14" s="35">
        <f t="shared" ref="C14:C59" si="4">B14/B13-1</f>
        <v>-5.7515092746097896E-2</v>
      </c>
      <c r="D14" s="33">
        <f t="shared" si="0"/>
        <v>-7500</v>
      </c>
      <c r="E14" s="33">
        <f t="shared" ref="E14:E59" si="5">E13*(1+C14)-D14</f>
        <v>21694.688377299524</v>
      </c>
      <c r="G14" s="12">
        <v>41334</v>
      </c>
      <c r="H14" s="33">
        <f>VLOOKUP(G14,'MF Data'!C:D,2,0)</f>
        <v>23.626999999999999</v>
      </c>
      <c r="I14" s="35">
        <f t="shared" ref="I14:I59" si="6">H14/H13-1</f>
        <v>1.0193000008551056E-2</v>
      </c>
      <c r="J14" s="33">
        <f t="shared" si="1"/>
        <v>-7500</v>
      </c>
      <c r="K14" s="33">
        <f t="shared" ref="K14:K59" si="7">K13*(1+I14)-J14</f>
        <v>22743.468956171921</v>
      </c>
      <c r="M14" s="12">
        <v>41334</v>
      </c>
      <c r="N14" s="36">
        <f t="shared" si="2"/>
        <v>-15000</v>
      </c>
      <c r="O14" s="36">
        <f t="shared" si="3"/>
        <v>44438.157333471449</v>
      </c>
    </row>
    <row r="15" spans="1:25" x14ac:dyDescent="0.3">
      <c r="A15" s="12">
        <v>41365</v>
      </c>
      <c r="B15" s="33">
        <f>VLOOKUP(A15,'MF Data'!A:B,2,0)</f>
        <v>239.0403</v>
      </c>
      <c r="C15" s="35">
        <f t="shared" si="4"/>
        <v>-8.3060075737712014E-3</v>
      </c>
      <c r="D15" s="33">
        <f t="shared" si="0"/>
        <v>-7500</v>
      </c>
      <c r="E15" s="33">
        <f t="shared" si="5"/>
        <v>29014.492131327068</v>
      </c>
      <c r="G15" s="12">
        <v>41366</v>
      </c>
      <c r="H15" s="33">
        <f>VLOOKUP(G15,'MF Data'!C:D,2,0)</f>
        <v>23.745000000000001</v>
      </c>
      <c r="I15" s="35">
        <f t="shared" si="6"/>
        <v>4.9942861979939135E-3</v>
      </c>
      <c r="J15" s="33">
        <f t="shared" si="1"/>
        <v>-7500</v>
      </c>
      <c r="K15" s="33">
        <f t="shared" si="7"/>
        <v>30357.056349274233</v>
      </c>
      <c r="M15" s="12">
        <v>41365</v>
      </c>
      <c r="N15" s="36">
        <f t="shared" si="2"/>
        <v>-15000</v>
      </c>
      <c r="O15" s="36">
        <f t="shared" si="3"/>
        <v>59371.548480601297</v>
      </c>
    </row>
    <row r="16" spans="1:25" x14ac:dyDescent="0.3">
      <c r="A16" s="12">
        <v>41396</v>
      </c>
      <c r="B16" s="33">
        <f>VLOOKUP(A16,'MF Data'!A:B,2,0)</f>
        <v>244.88390000000001</v>
      </c>
      <c r="C16" s="35">
        <f t="shared" si="4"/>
        <v>2.4446087124221361E-2</v>
      </c>
      <c r="D16" s="33">
        <f t="shared" si="0"/>
        <v>-7500</v>
      </c>
      <c r="E16" s="33">
        <f t="shared" si="5"/>
        <v>37223.782933834525</v>
      </c>
      <c r="G16" s="12">
        <v>41396</v>
      </c>
      <c r="H16" s="33">
        <f>VLOOKUP(G16,'MF Data'!C:D,2,0)</f>
        <v>24.2897</v>
      </c>
      <c r="I16" s="35">
        <f t="shared" si="6"/>
        <v>2.2939566224468244E-2</v>
      </c>
      <c r="J16" s="33">
        <f t="shared" si="1"/>
        <v>-7500</v>
      </c>
      <c r="K16" s="33">
        <f t="shared" si="7"/>
        <v>38553.434053778328</v>
      </c>
      <c r="M16" s="12">
        <v>41396</v>
      </c>
      <c r="N16" s="36">
        <f t="shared" si="2"/>
        <v>-15000</v>
      </c>
      <c r="O16" s="36">
        <f t="shared" si="3"/>
        <v>75777.216987612861</v>
      </c>
      <c r="S16" s="1"/>
    </row>
    <row r="17" spans="1:15" x14ac:dyDescent="0.3">
      <c r="A17" s="12">
        <v>41425</v>
      </c>
      <c r="B17" s="33">
        <f>VLOOKUP(A17,'MF Data'!A:B,2,0)</f>
        <v>246.46010000000001</v>
      </c>
      <c r="C17" s="35">
        <f t="shared" si="4"/>
        <v>6.4365195098574635E-3</v>
      </c>
      <c r="D17" s="33">
        <f t="shared" si="0"/>
        <v>-7500</v>
      </c>
      <c r="E17" s="33">
        <f t="shared" si="5"/>
        <v>44963.374538918848</v>
      </c>
      <c r="G17" s="12">
        <v>41425</v>
      </c>
      <c r="H17" s="33">
        <f>VLOOKUP(G17,'MF Data'!C:D,2,0)</f>
        <v>25.249300000000002</v>
      </c>
      <c r="I17" s="35">
        <f t="shared" si="6"/>
        <v>3.950645746962711E-2</v>
      </c>
      <c r="J17" s="33">
        <f t="shared" si="1"/>
        <v>-7500</v>
      </c>
      <c r="K17" s="33">
        <f t="shared" si="7"/>
        <v>47576.543656531998</v>
      </c>
      <c r="M17" s="12">
        <v>41425</v>
      </c>
      <c r="N17" s="36">
        <f t="shared" si="2"/>
        <v>-15000</v>
      </c>
      <c r="O17" s="36">
        <f t="shared" si="3"/>
        <v>92539.918195450853</v>
      </c>
    </row>
    <row r="18" spans="1:15" x14ac:dyDescent="0.3">
      <c r="A18" s="12">
        <v>41428</v>
      </c>
      <c r="B18" s="33">
        <f>VLOOKUP(A18,'MF Data'!A:B,2,0)</f>
        <v>247.64930000000001</v>
      </c>
      <c r="C18" s="35">
        <f t="shared" si="4"/>
        <v>4.8251217945622926E-3</v>
      </c>
      <c r="D18" s="33">
        <f t="shared" si="0"/>
        <v>-7500</v>
      </c>
      <c r="E18" s="33">
        <f t="shared" si="5"/>
        <v>52680.328297363652</v>
      </c>
      <c r="G18" s="12">
        <v>41452</v>
      </c>
      <c r="H18" s="33">
        <f>VLOOKUP(G18,'MF Data'!C:D,2,0)</f>
        <v>24.990200000000002</v>
      </c>
      <c r="I18" s="35">
        <f t="shared" si="6"/>
        <v>-1.0261670620571706E-2</v>
      </c>
      <c r="J18" s="33">
        <f t="shared" si="1"/>
        <v>-7500</v>
      </c>
      <c r="K18" s="33">
        <f t="shared" si="7"/>
        <v>54588.328836263419</v>
      </c>
      <c r="M18" s="12">
        <v>41428</v>
      </c>
      <c r="N18" s="36">
        <f t="shared" si="2"/>
        <v>-15000</v>
      </c>
      <c r="O18" s="36">
        <f t="shared" si="3"/>
        <v>107268.65713362707</v>
      </c>
    </row>
    <row r="19" spans="1:15" x14ac:dyDescent="0.3">
      <c r="A19" s="12">
        <v>41485</v>
      </c>
      <c r="B19" s="33">
        <f>VLOOKUP(A19,'MF Data'!A:B,2,0)</f>
        <v>233.96520000000001</v>
      </c>
      <c r="C19" s="35">
        <f t="shared" si="4"/>
        <v>-5.5255960747718658E-2</v>
      </c>
      <c r="D19" s="33">
        <f t="shared" si="0"/>
        <v>-7500</v>
      </c>
      <c r="E19" s="33">
        <f t="shared" si="5"/>
        <v>57269.426144787591</v>
      </c>
      <c r="G19" s="12">
        <v>41485</v>
      </c>
      <c r="H19" s="33">
        <f>VLOOKUP(G19,'MF Data'!C:D,2,0)</f>
        <v>24.359500000000001</v>
      </c>
      <c r="I19" s="35">
        <f t="shared" si="6"/>
        <v>-2.5237893254155708E-2</v>
      </c>
      <c r="J19" s="33">
        <f t="shared" si="1"/>
        <v>-7500</v>
      </c>
      <c r="K19" s="33">
        <f t="shared" si="7"/>
        <v>60710.634420171053</v>
      </c>
      <c r="M19" s="12">
        <v>41485</v>
      </c>
      <c r="N19" s="36">
        <f t="shared" si="2"/>
        <v>-15000</v>
      </c>
      <c r="O19" s="36">
        <f t="shared" si="3"/>
        <v>117980.06056495864</v>
      </c>
    </row>
    <row r="20" spans="1:15" x14ac:dyDescent="0.3">
      <c r="A20" s="12">
        <v>41515</v>
      </c>
      <c r="B20" s="33">
        <f>VLOOKUP(A20,'MF Data'!A:B,2,0)</f>
        <v>222.2782</v>
      </c>
      <c r="C20" s="35">
        <f t="shared" si="4"/>
        <v>-4.995187318455907E-2</v>
      </c>
      <c r="D20" s="33">
        <f t="shared" si="0"/>
        <v>-7500</v>
      </c>
      <c r="E20" s="33">
        <f t="shared" si="5"/>
        <v>61908.711032650688</v>
      </c>
      <c r="G20" s="12">
        <v>41515</v>
      </c>
      <c r="H20" s="33">
        <f>VLOOKUP(G20,'MF Data'!C:D,2,0)</f>
        <v>23.787099999999999</v>
      </c>
      <c r="I20" s="35">
        <f t="shared" si="6"/>
        <v>-2.3498019253268776E-2</v>
      </c>
      <c r="J20" s="33">
        <f t="shared" si="1"/>
        <v>-7500</v>
      </c>
      <c r="K20" s="33">
        <f t="shared" si="7"/>
        <v>66784.054763687716</v>
      </c>
      <c r="M20" s="12">
        <v>41515</v>
      </c>
      <c r="N20" s="36">
        <f t="shared" si="2"/>
        <v>-15000</v>
      </c>
      <c r="O20" s="36">
        <f t="shared" si="3"/>
        <v>128692.76579633841</v>
      </c>
    </row>
    <row r="21" spans="1:15" x14ac:dyDescent="0.3">
      <c r="A21" s="12">
        <v>41547</v>
      </c>
      <c r="B21" s="33">
        <f>VLOOKUP(A21,'MF Data'!A:B,2,0)</f>
        <v>236.08349999999999</v>
      </c>
      <c r="C21" s="35">
        <f t="shared" si="4"/>
        <v>6.2108204943174705E-2</v>
      </c>
      <c r="D21" s="33">
        <f t="shared" si="0"/>
        <v>-7500</v>
      </c>
      <c r="E21" s="33">
        <f t="shared" si="5"/>
        <v>73253.749945234333</v>
      </c>
      <c r="G21" s="12">
        <v>41547</v>
      </c>
      <c r="H21" s="33">
        <f>VLOOKUP(G21,'MF Data'!C:D,2,0)</f>
        <v>24.031500000000001</v>
      </c>
      <c r="I21" s="35">
        <f t="shared" si="6"/>
        <v>1.0274476501969554E-2</v>
      </c>
      <c r="J21" s="33">
        <f t="shared" si="1"/>
        <v>-7500</v>
      </c>
      <c r="K21" s="33">
        <f t="shared" si="7"/>
        <v>74970.225965063481</v>
      </c>
      <c r="M21" s="12">
        <v>41547</v>
      </c>
      <c r="N21" s="36">
        <f t="shared" si="2"/>
        <v>-15000</v>
      </c>
      <c r="O21" s="36">
        <f t="shared" si="3"/>
        <v>148223.97591029783</v>
      </c>
    </row>
    <row r="22" spans="1:15" x14ac:dyDescent="0.3">
      <c r="A22" s="12">
        <v>41575</v>
      </c>
      <c r="B22" s="33">
        <f>VLOOKUP(A22,'MF Data'!A:B,2,0)</f>
        <v>249.27029999999999</v>
      </c>
      <c r="C22" s="35">
        <f t="shared" si="4"/>
        <v>5.5856508396393778E-2</v>
      </c>
      <c r="D22" s="33">
        <f t="shared" si="0"/>
        <v>-7500</v>
      </c>
      <c r="E22" s="33">
        <f t="shared" si="5"/>
        <v>84845.448644117641</v>
      </c>
      <c r="G22" s="12">
        <v>41575</v>
      </c>
      <c r="H22" s="33">
        <f>VLOOKUP(G22,'MF Data'!C:D,2,0)</f>
        <v>24.4984</v>
      </c>
      <c r="I22" s="35">
        <f t="shared" si="6"/>
        <v>1.9428666541830397E-2</v>
      </c>
      <c r="J22" s="33">
        <f t="shared" si="1"/>
        <v>-7500</v>
      </c>
      <c r="K22" s="33">
        <f t="shared" si="7"/>
        <v>83926.797485904375</v>
      </c>
      <c r="M22" s="12">
        <v>41575</v>
      </c>
      <c r="N22" s="36">
        <f t="shared" si="2"/>
        <v>-15000</v>
      </c>
      <c r="O22" s="36">
        <f t="shared" si="3"/>
        <v>168772.24613002202</v>
      </c>
    </row>
    <row r="23" spans="1:15" x14ac:dyDescent="0.3">
      <c r="A23" s="12">
        <v>41605</v>
      </c>
      <c r="B23" s="33">
        <f>VLOOKUP(A23,'MF Data'!A:B,2,0)</f>
        <v>252.89340000000001</v>
      </c>
      <c r="C23" s="35">
        <f t="shared" si="4"/>
        <v>1.4534824245006517E-2</v>
      </c>
      <c r="D23" s="33">
        <f t="shared" si="0"/>
        <v>-7500</v>
      </c>
      <c r="E23" s="33">
        <f t="shared" si="5"/>
        <v>93578.662328148625</v>
      </c>
      <c r="G23" s="12">
        <v>41605</v>
      </c>
      <c r="H23" s="33">
        <f>VLOOKUP(G23,'MF Data'!C:D,2,0)</f>
        <v>24.377400000000002</v>
      </c>
      <c r="I23" s="35">
        <f t="shared" si="6"/>
        <v>-4.9390980635469761E-3</v>
      </c>
      <c r="J23" s="33">
        <f t="shared" si="1"/>
        <v>-7500</v>
      </c>
      <c r="K23" s="33">
        <f t="shared" si="7"/>
        <v>91012.274802962042</v>
      </c>
      <c r="M23" s="12">
        <v>41605</v>
      </c>
      <c r="N23" s="36">
        <f t="shared" si="2"/>
        <v>-15000</v>
      </c>
      <c r="O23" s="36">
        <f t="shared" si="3"/>
        <v>184590.93713111067</v>
      </c>
    </row>
    <row r="24" spans="1:15" x14ac:dyDescent="0.3">
      <c r="A24" s="12">
        <v>41635</v>
      </c>
      <c r="B24" s="33">
        <f>VLOOKUP(A24,'MF Data'!A:B,2,0)</f>
        <v>266.67270000000002</v>
      </c>
      <c r="C24" s="35">
        <f t="shared" si="4"/>
        <v>5.4486593956188711E-2</v>
      </c>
      <c r="D24" s="33">
        <f t="shared" si="0"/>
        <v>-7500</v>
      </c>
      <c r="E24" s="33">
        <f t="shared" si="5"/>
        <v>106177.44490538575</v>
      </c>
      <c r="G24" s="12">
        <v>41635</v>
      </c>
      <c r="H24" s="33">
        <f>VLOOKUP(G24,'MF Data'!C:D,2,0)</f>
        <v>24.263300000000001</v>
      </c>
      <c r="I24" s="35">
        <f t="shared" si="6"/>
        <v>-4.6805647854160082E-3</v>
      </c>
      <c r="J24" s="33">
        <f t="shared" si="1"/>
        <v>-7500</v>
      </c>
      <c r="K24" s="33">
        <f t="shared" si="7"/>
        <v>98086.285954478692</v>
      </c>
      <c r="M24" s="12">
        <v>41635</v>
      </c>
      <c r="N24" s="36">
        <f t="shared" si="2"/>
        <v>-15000</v>
      </c>
      <c r="O24" s="36">
        <f t="shared" si="3"/>
        <v>204263.73085986444</v>
      </c>
    </row>
    <row r="25" spans="1:15" x14ac:dyDescent="0.3">
      <c r="A25" s="12">
        <v>41666</v>
      </c>
      <c r="B25" s="33">
        <f>VLOOKUP(A25,'MF Data'!A:B,2,0)</f>
        <v>258.76459999999997</v>
      </c>
      <c r="C25" s="35">
        <f t="shared" si="4"/>
        <v>-2.9654704062320736E-2</v>
      </c>
      <c r="D25" s="33">
        <f t="shared" si="0"/>
        <v>-7500</v>
      </c>
      <c r="E25" s="33">
        <f t="shared" si="5"/>
        <v>110528.78419862318</v>
      </c>
      <c r="G25" s="12">
        <v>41666</v>
      </c>
      <c r="H25" s="33">
        <f>VLOOKUP(G25,'MF Data'!C:D,2,0)</f>
        <v>24.674700000000001</v>
      </c>
      <c r="I25" s="35">
        <f t="shared" si="6"/>
        <v>1.6955649066697553E-2</v>
      </c>
      <c r="J25" s="33">
        <f t="shared" si="1"/>
        <v>-7500</v>
      </c>
      <c r="K25" s="33">
        <f t="shared" si="7"/>
        <v>107249.40259737858</v>
      </c>
      <c r="M25" s="12">
        <v>41666</v>
      </c>
      <c r="N25" s="36">
        <f t="shared" si="2"/>
        <v>-15000</v>
      </c>
      <c r="O25" s="36">
        <f t="shared" si="3"/>
        <v>217778.18679600174</v>
      </c>
    </row>
    <row r="26" spans="1:15" x14ac:dyDescent="0.3">
      <c r="A26" s="12">
        <v>41695</v>
      </c>
      <c r="B26" s="33">
        <f>VLOOKUP(A26,'MF Data'!A:B,2,0)</f>
        <v>265.49380000000002</v>
      </c>
      <c r="C26" s="35">
        <f t="shared" si="4"/>
        <v>2.6005102707248318E-2</v>
      </c>
      <c r="D26" s="33">
        <f t="shared" si="0"/>
        <v>-7500</v>
      </c>
      <c r="E26" s="33">
        <f t="shared" si="5"/>
        <v>120903.09658381566</v>
      </c>
      <c r="G26" s="12">
        <v>41695</v>
      </c>
      <c r="H26" s="33">
        <f>VLOOKUP(G26,'MF Data'!C:D,2,0)</f>
        <v>24.604299999999999</v>
      </c>
      <c r="I26" s="35">
        <f t="shared" si="6"/>
        <v>-2.8531248606873394E-3</v>
      </c>
      <c r="J26" s="33">
        <f t="shared" si="1"/>
        <v>-7500</v>
      </c>
      <c r="K26" s="33">
        <f t="shared" si="7"/>
        <v>114443.40666053414</v>
      </c>
      <c r="M26" s="12">
        <v>41695</v>
      </c>
      <c r="N26" s="36">
        <f t="shared" si="2"/>
        <v>-15000</v>
      </c>
      <c r="O26" s="36">
        <f t="shared" si="3"/>
        <v>235346.50324434979</v>
      </c>
    </row>
    <row r="27" spans="1:15" x14ac:dyDescent="0.3">
      <c r="A27" s="12">
        <v>41725</v>
      </c>
      <c r="B27" s="33">
        <f>VLOOKUP(A27,'MF Data'!A:B,2,0)</f>
        <v>284.68549999999999</v>
      </c>
      <c r="C27" s="35">
        <f t="shared" si="4"/>
        <v>7.2286810464123663E-2</v>
      </c>
      <c r="D27" s="33">
        <f t="shared" si="0"/>
        <v>-7500</v>
      </c>
      <c r="E27" s="33">
        <f t="shared" si="5"/>
        <v>137142.79581109557</v>
      </c>
      <c r="G27" s="12">
        <v>41725</v>
      </c>
      <c r="H27" s="33">
        <f>VLOOKUP(G27,'MF Data'!C:D,2,0)</f>
        <v>25.0106</v>
      </c>
      <c r="I27" s="35">
        <f t="shared" si="6"/>
        <v>1.6513373678584742E-2</v>
      </c>
      <c r="J27" s="33">
        <f t="shared" si="1"/>
        <v>-7500</v>
      </c>
      <c r="K27" s="33">
        <f t="shared" si="7"/>
        <v>123833.25339976978</v>
      </c>
      <c r="M27" s="12">
        <v>41725</v>
      </c>
      <c r="N27" s="36">
        <f t="shared" si="2"/>
        <v>-15000</v>
      </c>
      <c r="O27" s="36">
        <f t="shared" si="3"/>
        <v>260976.04921086534</v>
      </c>
    </row>
    <row r="28" spans="1:15" x14ac:dyDescent="0.3">
      <c r="A28" s="12">
        <v>41757</v>
      </c>
      <c r="B28" s="33">
        <f>VLOOKUP(A28,'MF Data'!A:B,2,0)</f>
        <v>291.77679999999998</v>
      </c>
      <c r="C28" s="35">
        <f t="shared" si="4"/>
        <v>2.490924195296218E-2</v>
      </c>
      <c r="D28" s="33">
        <f t="shared" si="0"/>
        <v>-7500</v>
      </c>
      <c r="E28" s="33">
        <f t="shared" si="5"/>
        <v>148058.91889405984</v>
      </c>
      <c r="G28" s="12">
        <v>41758</v>
      </c>
      <c r="H28" s="33">
        <f>VLOOKUP(G28,'MF Data'!C:D,2,0)</f>
        <v>25.2654</v>
      </c>
      <c r="I28" s="35">
        <f t="shared" si="6"/>
        <v>1.0187680423500378E-2</v>
      </c>
      <c r="J28" s="33">
        <f t="shared" si="1"/>
        <v>-7500</v>
      </c>
      <c r="K28" s="33">
        <f t="shared" si="7"/>
        <v>132594.82701120898</v>
      </c>
      <c r="M28" s="12">
        <v>41757</v>
      </c>
      <c r="N28" s="36">
        <f t="shared" si="2"/>
        <v>-15000</v>
      </c>
      <c r="O28" s="36">
        <f t="shared" si="3"/>
        <v>280653.74590526882</v>
      </c>
    </row>
    <row r="29" spans="1:15" x14ac:dyDescent="0.3">
      <c r="A29" s="12">
        <v>41785</v>
      </c>
      <c r="B29" s="33">
        <f>VLOOKUP(A29,'MF Data'!A:B,2,0)</f>
        <v>317.99560000000002</v>
      </c>
      <c r="C29" s="35">
        <f t="shared" si="4"/>
        <v>8.9859097776108454E-2</v>
      </c>
      <c r="D29" s="33">
        <f t="shared" si="0"/>
        <v>-7500</v>
      </c>
      <c r="E29" s="33">
        <f t="shared" si="5"/>
        <v>168863.35976358608</v>
      </c>
      <c r="G29" s="12">
        <v>41785</v>
      </c>
      <c r="H29" s="33">
        <f>VLOOKUP(G29,'MF Data'!C:D,2,0)</f>
        <v>25.671900000000001</v>
      </c>
      <c r="I29" s="35">
        <f t="shared" si="6"/>
        <v>1.6089197083758888E-2</v>
      </c>
      <c r="J29" s="33">
        <f t="shared" si="1"/>
        <v>-7500</v>
      </c>
      <c r="K29" s="33">
        <f t="shared" si="7"/>
        <v>142228.17131527924</v>
      </c>
      <c r="M29" s="12">
        <v>41785</v>
      </c>
      <c r="N29" s="36">
        <f t="shared" si="2"/>
        <v>-15000</v>
      </c>
      <c r="O29" s="36">
        <f t="shared" si="3"/>
        <v>311091.53107886529</v>
      </c>
    </row>
    <row r="30" spans="1:15" x14ac:dyDescent="0.3">
      <c r="A30" s="12">
        <v>41815</v>
      </c>
      <c r="B30" s="33">
        <f>VLOOKUP(A30,'MF Data'!A:B,2,0)</f>
        <v>335.80900000000003</v>
      </c>
      <c r="C30" s="35">
        <f t="shared" si="4"/>
        <v>5.6017756220526405E-2</v>
      </c>
      <c r="D30" s="33">
        <f t="shared" si="0"/>
        <v>-7500</v>
      </c>
      <c r="E30" s="33">
        <f t="shared" si="5"/>
        <v>185822.70628540168</v>
      </c>
      <c r="G30" s="12">
        <v>41815</v>
      </c>
      <c r="H30" s="33">
        <f>VLOOKUP(G30,'MF Data'!C:D,2,0)</f>
        <v>26.121500000000001</v>
      </c>
      <c r="I30" s="35">
        <f t="shared" si="6"/>
        <v>1.7513312220754917E-2</v>
      </c>
      <c r="J30" s="33">
        <f t="shared" si="1"/>
        <v>-7500</v>
      </c>
      <c r="K30" s="33">
        <f t="shared" si="7"/>
        <v>152219.05768611073</v>
      </c>
      <c r="M30" s="12">
        <v>41815</v>
      </c>
      <c r="N30" s="36">
        <f t="shared" si="2"/>
        <v>-15000</v>
      </c>
      <c r="O30" s="36">
        <f t="shared" si="3"/>
        <v>338041.76397151244</v>
      </c>
    </row>
    <row r="31" spans="1:15" x14ac:dyDescent="0.3">
      <c r="A31" s="12">
        <v>41845</v>
      </c>
      <c r="B31" s="33">
        <f>VLOOKUP(A31,'MF Data'!A:B,2,0)</f>
        <v>345.52069999999998</v>
      </c>
      <c r="C31" s="35">
        <f t="shared" si="4"/>
        <v>2.892030886605168E-2</v>
      </c>
      <c r="D31" s="33">
        <f t="shared" si="0"/>
        <v>-7500</v>
      </c>
      <c r="E31" s="33">
        <f t="shared" si="5"/>
        <v>198696.75634550111</v>
      </c>
      <c r="G31" s="12">
        <v>41845</v>
      </c>
      <c r="H31" s="33">
        <f>VLOOKUP(G31,'MF Data'!C:D,2,0)</f>
        <v>26.466899999999999</v>
      </c>
      <c r="I31" s="35">
        <f t="shared" si="6"/>
        <v>1.3222824110407094E-2</v>
      </c>
      <c r="J31" s="33">
        <f t="shared" si="1"/>
        <v>-7500</v>
      </c>
      <c r="K31" s="33">
        <f t="shared" si="7"/>
        <v>161731.82351214607</v>
      </c>
      <c r="M31" s="12">
        <v>41845</v>
      </c>
      <c r="N31" s="36">
        <f t="shared" si="2"/>
        <v>-15000</v>
      </c>
      <c r="O31" s="36">
        <f t="shared" si="3"/>
        <v>360428.57985764719</v>
      </c>
    </row>
    <row r="32" spans="1:15" x14ac:dyDescent="0.3">
      <c r="A32" s="12">
        <v>41876</v>
      </c>
      <c r="B32" s="33">
        <f>VLOOKUP(A32,'MF Data'!A:B,2,0)</f>
        <v>358.58139999999997</v>
      </c>
      <c r="C32" s="35">
        <f t="shared" si="4"/>
        <v>3.7800050763962867E-2</v>
      </c>
      <c r="D32" s="33">
        <f t="shared" si="0"/>
        <v>-7500</v>
      </c>
      <c r="E32" s="33">
        <f t="shared" si="5"/>
        <v>213707.50382199581</v>
      </c>
      <c r="G32" s="12">
        <v>41878</v>
      </c>
      <c r="H32" s="33">
        <f>VLOOKUP(G32,'MF Data'!C:D,2,0)</f>
        <v>26.533000000000001</v>
      </c>
      <c r="I32" s="35">
        <f t="shared" si="6"/>
        <v>2.4974590904112137E-3</v>
      </c>
      <c r="J32" s="33">
        <f t="shared" si="1"/>
        <v>-7500</v>
      </c>
      <c r="K32" s="33">
        <f t="shared" si="7"/>
        <v>169635.74212498526</v>
      </c>
      <c r="M32" s="12">
        <v>41876</v>
      </c>
      <c r="N32" s="36">
        <f t="shared" si="2"/>
        <v>-15000</v>
      </c>
      <c r="O32" s="36">
        <f t="shared" si="3"/>
        <v>383343.24594698107</v>
      </c>
    </row>
    <row r="33" spans="1:15" x14ac:dyDescent="0.3">
      <c r="A33" s="12">
        <v>41905</v>
      </c>
      <c r="B33" s="33">
        <f>VLOOKUP(A33,'MF Data'!A:B,2,0)</f>
        <v>376.02390000000003</v>
      </c>
      <c r="C33" s="35">
        <f t="shared" si="4"/>
        <v>4.8643069607068545E-2</v>
      </c>
      <c r="D33" s="33">
        <f t="shared" si="0"/>
        <v>-7500</v>
      </c>
      <c r="E33" s="33">
        <f t="shared" si="5"/>
        <v>231602.89280596201</v>
      </c>
      <c r="G33" s="12">
        <v>41905</v>
      </c>
      <c r="H33" s="33">
        <f>VLOOKUP(G33,'MF Data'!C:D,2,0)</f>
        <v>26.825700000000001</v>
      </c>
      <c r="I33" s="35">
        <f t="shared" si="6"/>
        <v>1.1031545622432359E-2</v>
      </c>
      <c r="J33" s="33">
        <f t="shared" si="1"/>
        <v>-7500</v>
      </c>
      <c r="K33" s="33">
        <f t="shared" si="7"/>
        <v>179007.08655343222</v>
      </c>
      <c r="M33" s="12">
        <v>41905</v>
      </c>
      <c r="N33" s="36">
        <f t="shared" si="2"/>
        <v>-15000</v>
      </c>
      <c r="O33" s="36">
        <f t="shared" si="3"/>
        <v>410609.97935939423</v>
      </c>
    </row>
    <row r="34" spans="1:15" x14ac:dyDescent="0.3">
      <c r="A34" s="12">
        <v>41939</v>
      </c>
      <c r="B34" s="33">
        <f>VLOOKUP(A34,'MF Data'!A:B,2,0)</f>
        <v>382.44069999999999</v>
      </c>
      <c r="C34" s="35">
        <f t="shared" si="4"/>
        <v>1.7064872738142389E-2</v>
      </c>
      <c r="D34" s="33">
        <f t="shared" si="0"/>
        <v>-7500</v>
      </c>
      <c r="E34" s="33">
        <f t="shared" si="5"/>
        <v>243055.16669748139</v>
      </c>
      <c r="G34" s="12">
        <v>41939</v>
      </c>
      <c r="H34" s="33">
        <f>VLOOKUP(G34,'MF Data'!C:D,2,0)</f>
        <v>27.473800000000001</v>
      </c>
      <c r="I34" s="35">
        <f t="shared" si="6"/>
        <v>2.4159667781269434E-2</v>
      </c>
      <c r="J34" s="33">
        <f t="shared" si="1"/>
        <v>-7500</v>
      </c>
      <c r="K34" s="33">
        <f t="shared" si="7"/>
        <v>190831.83829505608</v>
      </c>
      <c r="M34" s="12">
        <v>41939</v>
      </c>
      <c r="N34" s="36">
        <f t="shared" si="2"/>
        <v>-15000</v>
      </c>
      <c r="O34" s="36">
        <f t="shared" si="3"/>
        <v>433887.00499253743</v>
      </c>
    </row>
    <row r="35" spans="1:15" x14ac:dyDescent="0.3">
      <c r="A35" s="12">
        <v>41970</v>
      </c>
      <c r="B35" s="33">
        <f>VLOOKUP(A35,'MF Data'!A:B,2,0)</f>
        <v>410.29090000000002</v>
      </c>
      <c r="C35" s="35">
        <f t="shared" si="4"/>
        <v>7.2822270223854346E-2</v>
      </c>
      <c r="D35" s="33">
        <f t="shared" si="0"/>
        <v>-7500</v>
      </c>
      <c r="E35" s="33">
        <f t="shared" si="5"/>
        <v>268254.99572602933</v>
      </c>
      <c r="G35" s="12">
        <v>41970</v>
      </c>
      <c r="H35" s="33">
        <f>VLOOKUP(G35,'MF Data'!C:D,2,0)</f>
        <v>28.240600000000001</v>
      </c>
      <c r="I35" s="35">
        <f t="shared" si="6"/>
        <v>2.7910227198276072E-2</v>
      </c>
      <c r="J35" s="33">
        <f t="shared" si="1"/>
        <v>-7500</v>
      </c>
      <c r="K35" s="33">
        <f t="shared" si="7"/>
        <v>203657.99825853578</v>
      </c>
      <c r="M35" s="12">
        <v>41970</v>
      </c>
      <c r="N35" s="36">
        <f t="shared" si="2"/>
        <v>-15000</v>
      </c>
      <c r="O35" s="36">
        <f t="shared" si="3"/>
        <v>471912.99398456514</v>
      </c>
    </row>
    <row r="36" spans="1:15" x14ac:dyDescent="0.3">
      <c r="A36" s="12">
        <v>41995</v>
      </c>
      <c r="B36" s="33">
        <f>VLOOKUP(A36,'MF Data'!A:B,2,0)</f>
        <v>411.31880000000001</v>
      </c>
      <c r="C36" s="35">
        <f t="shared" si="4"/>
        <v>2.5052956329276732E-3</v>
      </c>
      <c r="D36" s="33">
        <f t="shared" si="0"/>
        <v>-7500</v>
      </c>
      <c r="E36" s="33">
        <f t="shared" si="5"/>
        <v>276427.05379533279</v>
      </c>
      <c r="G36" s="12">
        <v>41995</v>
      </c>
      <c r="H36" s="33">
        <f>VLOOKUP(G36,'MF Data'!C:D,2,0)</f>
        <v>29.0608</v>
      </c>
      <c r="I36" s="35">
        <f t="shared" si="6"/>
        <v>2.9043292281325517E-2</v>
      </c>
      <c r="J36" s="33">
        <f t="shared" si="1"/>
        <v>-7500</v>
      </c>
      <c r="K36" s="33">
        <f t="shared" si="7"/>
        <v>217072.89702738813</v>
      </c>
      <c r="M36" s="12">
        <v>41995</v>
      </c>
      <c r="N36" s="36">
        <f t="shared" si="2"/>
        <v>-15000</v>
      </c>
      <c r="O36" s="36">
        <f t="shared" si="3"/>
        <v>493499.95082272089</v>
      </c>
    </row>
    <row r="37" spans="1:15" x14ac:dyDescent="0.3">
      <c r="A37" s="12">
        <v>42025</v>
      </c>
      <c r="B37" s="33">
        <f>VLOOKUP(A37,'MF Data'!A:B,2,0)</f>
        <v>438.14550000000003</v>
      </c>
      <c r="C37" s="35">
        <f t="shared" si="4"/>
        <v>6.5221186097012884E-2</v>
      </c>
      <c r="D37" s="33">
        <f t="shared" si="0"/>
        <v>-7500</v>
      </c>
      <c r="E37" s="33">
        <f t="shared" si="5"/>
        <v>301955.95411316719</v>
      </c>
      <c r="G37" s="12">
        <v>42025</v>
      </c>
      <c r="H37" s="33">
        <f>VLOOKUP(G37,'MF Data'!C:D,2,0)</f>
        <v>30.063500000000001</v>
      </c>
      <c r="I37" s="35">
        <f t="shared" si="6"/>
        <v>3.4503523646974621E-2</v>
      </c>
      <c r="J37" s="33">
        <f t="shared" si="1"/>
        <v>-7500</v>
      </c>
      <c r="K37" s="33">
        <f t="shared" si="7"/>
        <v>232062.6768630899</v>
      </c>
      <c r="M37" s="12">
        <v>42025</v>
      </c>
      <c r="N37" s="36">
        <f t="shared" si="2"/>
        <v>-15000</v>
      </c>
      <c r="O37" s="36">
        <f t="shared" si="3"/>
        <v>534018.63097625715</v>
      </c>
    </row>
    <row r="38" spans="1:15" x14ac:dyDescent="0.3">
      <c r="A38" s="12">
        <v>42055</v>
      </c>
      <c r="B38" s="33">
        <f>VLOOKUP(A38,'MF Data'!A:B,2,0)</f>
        <v>443.62369999999999</v>
      </c>
      <c r="C38" s="35">
        <f t="shared" si="4"/>
        <v>1.2503152491580849E-2</v>
      </c>
      <c r="D38" s="33">
        <f t="shared" si="0"/>
        <v>-7500</v>
      </c>
      <c r="E38" s="33">
        <f t="shared" si="5"/>
        <v>313231.35545318492</v>
      </c>
      <c r="G38" s="12">
        <v>42055</v>
      </c>
      <c r="H38" s="33">
        <f>VLOOKUP(G38,'MF Data'!C:D,2,0)</f>
        <v>30.381699999999999</v>
      </c>
      <c r="I38" s="35">
        <f t="shared" si="6"/>
        <v>1.058426330932849E-2</v>
      </c>
      <c r="J38" s="33">
        <f t="shared" si="1"/>
        <v>-7500</v>
      </c>
      <c r="K38" s="33">
        <f t="shared" si="7"/>
        <v>242018.88933927644</v>
      </c>
      <c r="M38" s="12">
        <v>42055</v>
      </c>
      <c r="N38" s="36">
        <f t="shared" si="2"/>
        <v>-15000</v>
      </c>
      <c r="O38" s="36">
        <f t="shared" si="3"/>
        <v>555250.2447924614</v>
      </c>
    </row>
    <row r="39" spans="1:15" x14ac:dyDescent="0.3">
      <c r="A39" s="12">
        <v>42090</v>
      </c>
      <c r="B39" s="33">
        <f>VLOOKUP(A39,'MF Data'!A:B,2,0)</f>
        <v>434.97710000000001</v>
      </c>
      <c r="C39" s="35">
        <f t="shared" si="4"/>
        <v>-1.949084325296413E-2</v>
      </c>
      <c r="D39" s="33">
        <f t="shared" si="0"/>
        <v>-7500</v>
      </c>
      <c r="E39" s="33">
        <f t="shared" si="5"/>
        <v>314626.21220213338</v>
      </c>
      <c r="G39" s="12">
        <v>42087</v>
      </c>
      <c r="H39" s="33">
        <f>VLOOKUP(G39,'MF Data'!C:D,2,0)</f>
        <v>30.2699</v>
      </c>
      <c r="I39" s="35">
        <f t="shared" si="6"/>
        <v>-3.6798467498526666E-3</v>
      </c>
      <c r="J39" s="33">
        <f t="shared" si="1"/>
        <v>-7500</v>
      </c>
      <c r="K39" s="33">
        <f t="shared" si="7"/>
        <v>248628.29691593835</v>
      </c>
      <c r="M39" s="12">
        <v>42090</v>
      </c>
      <c r="N39" s="36">
        <f t="shared" si="2"/>
        <v>-15000</v>
      </c>
      <c r="O39" s="36">
        <f t="shared" si="3"/>
        <v>563254.50911807176</v>
      </c>
    </row>
    <row r="40" spans="1:15" x14ac:dyDescent="0.3">
      <c r="A40" s="12">
        <v>42115</v>
      </c>
      <c r="B40" s="33">
        <f>VLOOKUP(A40,'MF Data'!A:B,2,0)</f>
        <v>435.31619999999998</v>
      </c>
      <c r="C40" s="35">
        <f t="shared" si="4"/>
        <v>7.7958126991051202E-4</v>
      </c>
      <c r="D40" s="33">
        <f t="shared" si="0"/>
        <v>-7500</v>
      </c>
      <c r="E40" s="33">
        <f t="shared" si="5"/>
        <v>322371.48890418903</v>
      </c>
      <c r="G40" s="12">
        <v>42115</v>
      </c>
      <c r="H40" s="33">
        <f>VLOOKUP(G40,'MF Data'!C:D,2,0)</f>
        <v>30.376300000000001</v>
      </c>
      <c r="I40" s="35">
        <f t="shared" si="6"/>
        <v>3.5150429965080665E-3</v>
      </c>
      <c r="J40" s="33">
        <f t="shared" si="1"/>
        <v>-7500</v>
      </c>
      <c r="K40" s="33">
        <f t="shared" si="7"/>
        <v>257002.23606974646</v>
      </c>
      <c r="M40" s="12">
        <v>42115</v>
      </c>
      <c r="N40" s="36">
        <f t="shared" si="2"/>
        <v>-15000</v>
      </c>
      <c r="O40" s="36">
        <f t="shared" si="3"/>
        <v>579373.72497393552</v>
      </c>
    </row>
    <row r="41" spans="1:15" x14ac:dyDescent="0.3">
      <c r="A41" s="12">
        <v>42145</v>
      </c>
      <c r="B41" s="33">
        <f>VLOOKUP(A41,'MF Data'!A:B,2,0)</f>
        <v>440.73250000000002</v>
      </c>
      <c r="C41" s="35">
        <f t="shared" si="4"/>
        <v>1.2442220160885364E-2</v>
      </c>
      <c r="D41" s="33">
        <f t="shared" si="0"/>
        <v>-7500</v>
      </c>
      <c r="E41" s="33">
        <f t="shared" si="5"/>
        <v>333882.50594272738</v>
      </c>
      <c r="G41" s="12">
        <v>42146</v>
      </c>
      <c r="H41" s="33">
        <f>VLOOKUP(G41,'MF Data'!C:D,2,0)</f>
        <v>30.351400000000002</v>
      </c>
      <c r="I41" s="35">
        <f t="shared" si="6"/>
        <v>-8.197180038385099E-4</v>
      </c>
      <c r="J41" s="33">
        <f t="shared" si="1"/>
        <v>-7500</v>
      </c>
      <c r="K41" s="33">
        <f t="shared" si="7"/>
        <v>264291.56670981331</v>
      </c>
      <c r="M41" s="12">
        <v>42145</v>
      </c>
      <c r="N41" s="36">
        <f t="shared" si="2"/>
        <v>-15000</v>
      </c>
      <c r="O41" s="36">
        <f t="shared" si="3"/>
        <v>598174.07265254064</v>
      </c>
    </row>
    <row r="42" spans="1:15" x14ac:dyDescent="0.3">
      <c r="A42" s="12">
        <v>42181</v>
      </c>
      <c r="B42" s="33">
        <f>VLOOKUP(A42,'MF Data'!A:B,2,0)</f>
        <v>443.53899999999999</v>
      </c>
      <c r="C42" s="35">
        <f t="shared" si="4"/>
        <v>6.3678081375890816E-3</v>
      </c>
      <c r="D42" s="33">
        <f t="shared" si="0"/>
        <v>-7500</v>
      </c>
      <c r="E42" s="33">
        <f t="shared" si="5"/>
        <v>343508.60568106809</v>
      </c>
      <c r="G42" s="12">
        <v>42177</v>
      </c>
      <c r="H42" s="33">
        <f>VLOOKUP(G42,'MF Data'!C:D,2,0)</f>
        <v>30.2912</v>
      </c>
      <c r="I42" s="35">
        <f t="shared" si="6"/>
        <v>-1.983434042581278E-3</v>
      </c>
      <c r="J42" s="33">
        <f t="shared" si="1"/>
        <v>-7500</v>
      </c>
      <c r="K42" s="33">
        <f t="shared" si="7"/>
        <v>271267.36181923392</v>
      </c>
      <c r="M42" s="12">
        <v>42181</v>
      </c>
      <c r="N42" s="36">
        <f t="shared" si="2"/>
        <v>-15000</v>
      </c>
      <c r="O42" s="36">
        <f t="shared" si="3"/>
        <v>614775.96750030201</v>
      </c>
    </row>
    <row r="43" spans="1:15" x14ac:dyDescent="0.3">
      <c r="A43" s="12">
        <v>42205</v>
      </c>
      <c r="B43" s="33">
        <f>VLOOKUP(A43,'MF Data'!A:B,2,0)</f>
        <v>459.4015</v>
      </c>
      <c r="C43" s="35">
        <f t="shared" si="4"/>
        <v>3.5763484158101155E-2</v>
      </c>
      <c r="D43" s="33">
        <f t="shared" si="0"/>
        <v>-7500</v>
      </c>
      <c r="E43" s="33">
        <f t="shared" si="5"/>
        <v>363293.67025851441</v>
      </c>
      <c r="G43" s="12">
        <v>42205</v>
      </c>
      <c r="H43" s="33">
        <f>VLOOKUP(G43,'MF Data'!C:D,2,0)</f>
        <v>30.302600000000002</v>
      </c>
      <c r="I43" s="35">
        <f t="shared" si="6"/>
        <v>3.7634692583998763E-4</v>
      </c>
      <c r="J43" s="33">
        <f t="shared" si="1"/>
        <v>-7500</v>
      </c>
      <c r="K43" s="33">
        <f t="shared" si="7"/>
        <v>278869.45245693531</v>
      </c>
      <c r="M43" s="12">
        <v>42205</v>
      </c>
      <c r="N43" s="36">
        <f t="shared" si="2"/>
        <v>-15000</v>
      </c>
      <c r="O43" s="36">
        <f t="shared" si="3"/>
        <v>642163.12271544966</v>
      </c>
    </row>
    <row r="44" spans="1:15" x14ac:dyDescent="0.3">
      <c r="A44" s="12">
        <v>42235</v>
      </c>
      <c r="B44" s="33">
        <f>VLOOKUP(A44,'MF Data'!A:B,2,0)</f>
        <v>463.64060000000001</v>
      </c>
      <c r="C44" s="35">
        <f t="shared" si="4"/>
        <v>9.227440485065852E-3</v>
      </c>
      <c r="D44" s="33">
        <f t="shared" si="0"/>
        <v>-7500</v>
      </c>
      <c r="E44" s="33">
        <f t="shared" si="5"/>
        <v>374145.94097942597</v>
      </c>
      <c r="G44" s="12">
        <v>42235</v>
      </c>
      <c r="H44" s="33">
        <f>VLOOKUP(G44,'MF Data'!C:D,2,0)</f>
        <v>30.841999999999999</v>
      </c>
      <c r="I44" s="35">
        <f t="shared" si="6"/>
        <v>1.7800452766429276E-2</v>
      </c>
      <c r="J44" s="33">
        <f t="shared" si="1"/>
        <v>-7500</v>
      </c>
      <c r="K44" s="33">
        <f t="shared" si="7"/>
        <v>291333.45497339498</v>
      </c>
      <c r="M44" s="12">
        <v>42235</v>
      </c>
      <c r="N44" s="36">
        <f t="shared" si="2"/>
        <v>-15000</v>
      </c>
      <c r="O44" s="36">
        <f t="shared" si="3"/>
        <v>665479.39595282101</v>
      </c>
    </row>
    <row r="45" spans="1:15" x14ac:dyDescent="0.3">
      <c r="A45" s="12">
        <v>42265</v>
      </c>
      <c r="B45" s="33">
        <f>VLOOKUP(A45,'MF Data'!A:B,2,0)</f>
        <v>437.71510000000001</v>
      </c>
      <c r="C45" s="35">
        <f t="shared" si="4"/>
        <v>-5.5917234168017194E-2</v>
      </c>
      <c r="D45" s="33">
        <f t="shared" si="0"/>
        <v>-7500</v>
      </c>
      <c r="E45" s="33">
        <f t="shared" si="5"/>
        <v>360724.73478466627</v>
      </c>
      <c r="G45" s="12">
        <v>42265</v>
      </c>
      <c r="H45" s="33">
        <f>VLOOKUP(G45,'MF Data'!C:D,2,0)</f>
        <v>31.183499999999999</v>
      </c>
      <c r="I45" s="35">
        <f t="shared" si="6"/>
        <v>1.107256338758833E-2</v>
      </c>
      <c r="J45" s="33">
        <f t="shared" si="1"/>
        <v>-7500</v>
      </c>
      <c r="K45" s="33">
        <f t="shared" si="7"/>
        <v>302059.263120513</v>
      </c>
      <c r="M45" s="12">
        <v>42265</v>
      </c>
      <c r="N45" s="36">
        <f t="shared" si="2"/>
        <v>-15000</v>
      </c>
      <c r="O45" s="36">
        <f t="shared" si="3"/>
        <v>662783.99790517928</v>
      </c>
    </row>
    <row r="46" spans="1:15" x14ac:dyDescent="0.3">
      <c r="A46" s="12">
        <v>42296</v>
      </c>
      <c r="B46" s="33">
        <f>VLOOKUP(A46,'MF Data'!A:B,2,0)</f>
        <v>451.09179999999998</v>
      </c>
      <c r="C46" s="35">
        <f t="shared" si="4"/>
        <v>3.0560289101289717E-2</v>
      </c>
      <c r="D46" s="33">
        <f t="shared" si="0"/>
        <v>-7500</v>
      </c>
      <c r="E46" s="33">
        <f t="shared" si="5"/>
        <v>379248.58696567174</v>
      </c>
      <c r="G46" s="12">
        <v>42296</v>
      </c>
      <c r="H46" s="33">
        <f>VLOOKUP(G46,'MF Data'!C:D,2,0)</f>
        <v>31.651499999999999</v>
      </c>
      <c r="I46" s="35">
        <f t="shared" si="6"/>
        <v>1.5007936889701368E-2</v>
      </c>
      <c r="J46" s="33">
        <f t="shared" si="1"/>
        <v>-7500</v>
      </c>
      <c r="K46" s="33">
        <f t="shared" si="7"/>
        <v>314092.54947837535</v>
      </c>
      <c r="M46" s="12">
        <v>42296</v>
      </c>
      <c r="N46" s="36">
        <f t="shared" si="2"/>
        <v>-15000</v>
      </c>
      <c r="O46" s="36">
        <f t="shared" si="3"/>
        <v>693341.13644404709</v>
      </c>
    </row>
    <row r="47" spans="1:15" x14ac:dyDescent="0.3">
      <c r="A47" s="12">
        <v>42325</v>
      </c>
      <c r="B47" s="33">
        <f>VLOOKUP(A47,'MF Data'!A:B,2,0)</f>
        <v>432.42500000000001</v>
      </c>
      <c r="C47" s="35">
        <f t="shared" si="4"/>
        <v>-4.1381377360439675E-2</v>
      </c>
      <c r="D47" s="33">
        <f t="shared" si="0"/>
        <v>-7500</v>
      </c>
      <c r="E47" s="33">
        <f t="shared" si="5"/>
        <v>371054.75807503174</v>
      </c>
      <c r="G47" s="12">
        <v>42325</v>
      </c>
      <c r="H47" s="33">
        <f>VLOOKUP(G47,'MF Data'!C:D,2,0)</f>
        <v>31.5578</v>
      </c>
      <c r="I47" s="35">
        <f t="shared" si="6"/>
        <v>-2.960365227556272E-3</v>
      </c>
      <c r="J47" s="33">
        <f t="shared" si="1"/>
        <v>-7500</v>
      </c>
      <c r="K47" s="33">
        <f t="shared" si="7"/>
        <v>320662.7208166651</v>
      </c>
      <c r="M47" s="12">
        <v>42325</v>
      </c>
      <c r="N47" s="36">
        <f t="shared" si="2"/>
        <v>-15000</v>
      </c>
      <c r="O47" s="36">
        <f t="shared" si="3"/>
        <v>691717.47889169678</v>
      </c>
    </row>
    <row r="48" spans="1:15" x14ac:dyDescent="0.3">
      <c r="A48" s="12">
        <v>42355</v>
      </c>
      <c r="B48" s="33">
        <f>VLOOKUP(A48,'MF Data'!A:B,2,0)</f>
        <v>432.50209999999998</v>
      </c>
      <c r="C48" s="35">
        <f t="shared" si="4"/>
        <v>1.7829681447634194E-4</v>
      </c>
      <c r="D48" s="33">
        <f t="shared" si="0"/>
        <v>-7500</v>
      </c>
      <c r="E48" s="33">
        <f t="shared" si="5"/>
        <v>378620.91595639283</v>
      </c>
      <c r="G48" s="12">
        <v>42355</v>
      </c>
      <c r="H48" s="33">
        <f>VLOOKUP(G48,'MF Data'!C:D,2,0)</f>
        <v>31.485600000000002</v>
      </c>
      <c r="I48" s="35">
        <f t="shared" si="6"/>
        <v>-2.2878654405567023E-3</v>
      </c>
      <c r="J48" s="33">
        <f t="shared" si="1"/>
        <v>-7500</v>
      </c>
      <c r="K48" s="33">
        <f t="shared" si="7"/>
        <v>327429.08765963378</v>
      </c>
      <c r="M48" s="12">
        <v>42355</v>
      </c>
      <c r="N48" s="36">
        <f t="shared" si="2"/>
        <v>-15000</v>
      </c>
      <c r="O48" s="36">
        <f t="shared" si="3"/>
        <v>706050.0036160266</v>
      </c>
    </row>
    <row r="49" spans="1:15" x14ac:dyDescent="0.3">
      <c r="A49" s="12">
        <v>42387</v>
      </c>
      <c r="B49" s="33">
        <f>VLOOKUP(A49,'MF Data'!A:B,2,0)</f>
        <v>403.67329999999998</v>
      </c>
      <c r="C49" s="35">
        <f t="shared" si="4"/>
        <v>-6.6655861324141585E-2</v>
      </c>
      <c r="D49" s="33">
        <f t="shared" si="0"/>
        <v>-7500</v>
      </c>
      <c r="E49" s="33">
        <f t="shared" si="5"/>
        <v>360883.61268798402</v>
      </c>
      <c r="G49" s="12">
        <v>42388</v>
      </c>
      <c r="H49" s="33">
        <f>VLOOKUP(G49,'MF Data'!C:D,2,0)</f>
        <v>31.458500000000001</v>
      </c>
      <c r="I49" s="35">
        <f t="shared" si="6"/>
        <v>-8.6071092817041617E-4</v>
      </c>
      <c r="J49" s="33">
        <f t="shared" si="1"/>
        <v>-7500</v>
      </c>
      <c r="K49" s="33">
        <f t="shared" si="7"/>
        <v>334647.26586568425</v>
      </c>
      <c r="M49" s="12">
        <v>42387</v>
      </c>
      <c r="N49" s="36">
        <f t="shared" si="2"/>
        <v>-15000</v>
      </c>
      <c r="O49" s="36">
        <f t="shared" si="3"/>
        <v>695530.87855366827</v>
      </c>
    </row>
    <row r="50" spans="1:15" x14ac:dyDescent="0.3">
      <c r="A50" s="12">
        <v>42415</v>
      </c>
      <c r="B50" s="33">
        <f>VLOOKUP(A50,'MF Data'!A:B,2,0)</f>
        <v>399.27460000000002</v>
      </c>
      <c r="C50" s="35">
        <f t="shared" si="4"/>
        <v>-1.0896683035514054E-2</v>
      </c>
      <c r="D50" s="33">
        <f t="shared" si="0"/>
        <v>-7500</v>
      </c>
      <c r="E50" s="33">
        <f t="shared" si="5"/>
        <v>364451.17834781186</v>
      </c>
      <c r="G50" s="12">
        <v>42415</v>
      </c>
      <c r="H50" s="33">
        <f>VLOOKUP(G50,'MF Data'!C:D,2,0)</f>
        <v>31.465900000000001</v>
      </c>
      <c r="I50" s="35">
        <f t="shared" si="6"/>
        <v>2.3523054182494896E-4</v>
      </c>
      <c r="J50" s="33">
        <f t="shared" si="1"/>
        <v>-7500</v>
      </c>
      <c r="K50" s="33">
        <f t="shared" si="7"/>
        <v>342225.98512335407</v>
      </c>
      <c r="M50" s="12">
        <v>42415</v>
      </c>
      <c r="N50" s="36">
        <f t="shared" si="2"/>
        <v>-15000</v>
      </c>
      <c r="O50" s="36">
        <f t="shared" si="3"/>
        <v>706677.16347116593</v>
      </c>
    </row>
    <row r="51" spans="1:15" x14ac:dyDescent="0.3">
      <c r="A51" s="12">
        <v>42445</v>
      </c>
      <c r="B51" s="33">
        <f>VLOOKUP(A51,'MF Data'!A:B,2,0)</f>
        <v>415.18819999999999</v>
      </c>
      <c r="C51" s="35">
        <f t="shared" si="4"/>
        <v>3.9856279362624036E-2</v>
      </c>
      <c r="D51" s="33">
        <f t="shared" si="0"/>
        <v>-7500</v>
      </c>
      <c r="E51" s="33">
        <f t="shared" si="5"/>
        <v>386476.84632607974</v>
      </c>
      <c r="G51" s="12">
        <v>42445</v>
      </c>
      <c r="H51" s="33">
        <f>VLOOKUP(G51,'MF Data'!C:D,2,0)</f>
        <v>31.747499999999999</v>
      </c>
      <c r="I51" s="35">
        <f t="shared" si="6"/>
        <v>8.9493705884782226E-3</v>
      </c>
      <c r="J51" s="33">
        <f t="shared" si="1"/>
        <v>-7500</v>
      </c>
      <c r="K51" s="33">
        <f t="shared" si="7"/>
        <v>352788.69228923001</v>
      </c>
      <c r="M51" s="12">
        <v>42445</v>
      </c>
      <c r="N51" s="36">
        <f t="shared" si="2"/>
        <v>-15000</v>
      </c>
      <c r="O51" s="36">
        <f t="shared" si="3"/>
        <v>739265.53861530975</v>
      </c>
    </row>
    <row r="52" spans="1:15" x14ac:dyDescent="0.3">
      <c r="A52" s="12">
        <v>42480</v>
      </c>
      <c r="B52" s="33">
        <f>VLOOKUP(A52,'MF Data'!A:B,2,0)</f>
        <v>442.72890000000001</v>
      </c>
      <c r="C52" s="35">
        <f t="shared" si="4"/>
        <v>6.6333050891138168E-2</v>
      </c>
      <c r="D52" s="33">
        <f t="shared" si="0"/>
        <v>-7500</v>
      </c>
      <c r="E52" s="33">
        <f t="shared" si="5"/>
        <v>419613.0346416742</v>
      </c>
      <c r="G52" s="12">
        <v>42480</v>
      </c>
      <c r="H52" s="33">
        <f>VLOOKUP(G52,'MF Data'!C:D,2,0)</f>
        <v>32.430799999999998</v>
      </c>
      <c r="I52" s="35">
        <f t="shared" si="6"/>
        <v>2.1522954563351515E-2</v>
      </c>
      <c r="J52" s="33">
        <f t="shared" si="1"/>
        <v>-7500</v>
      </c>
      <c r="K52" s="33">
        <f t="shared" si="7"/>
        <v>367881.74728383531</v>
      </c>
      <c r="M52" s="12">
        <v>42480</v>
      </c>
      <c r="N52" s="36">
        <f t="shared" si="2"/>
        <v>-15000</v>
      </c>
      <c r="O52" s="36">
        <f t="shared" si="3"/>
        <v>787494.78192550945</v>
      </c>
    </row>
    <row r="53" spans="1:15" x14ac:dyDescent="0.3">
      <c r="A53" s="12">
        <v>42510</v>
      </c>
      <c r="B53" s="33">
        <f>VLOOKUP(A53,'MF Data'!A:B,2,0)</f>
        <v>439.9973</v>
      </c>
      <c r="C53" s="35">
        <f t="shared" si="4"/>
        <v>-6.1699157204330168E-3</v>
      </c>
      <c r="D53" s="33">
        <f t="shared" si="0"/>
        <v>-7500</v>
      </c>
      <c r="E53" s="33">
        <f t="shared" si="5"/>
        <v>424524.05758273992</v>
      </c>
      <c r="G53" s="12">
        <v>42514</v>
      </c>
      <c r="H53" s="33">
        <f>VLOOKUP(G53,'MF Data'!C:D,2,0)</f>
        <v>32.581000000000003</v>
      </c>
      <c r="I53" s="35">
        <f t="shared" si="6"/>
        <v>4.6313997804556806E-3</v>
      </c>
      <c r="J53" s="33">
        <f t="shared" si="1"/>
        <v>-7500</v>
      </c>
      <c r="K53" s="33">
        <f t="shared" si="7"/>
        <v>377085.5547274393</v>
      </c>
      <c r="M53" s="12">
        <v>42510</v>
      </c>
      <c r="N53" s="36">
        <f t="shared" si="2"/>
        <v>-15000</v>
      </c>
      <c r="O53" s="36">
        <f t="shared" si="3"/>
        <v>801609.61231017928</v>
      </c>
    </row>
    <row r="54" spans="1:15" x14ac:dyDescent="0.3">
      <c r="A54" s="12">
        <v>42535</v>
      </c>
      <c r="B54" s="33">
        <f>VLOOKUP(A54,'MF Data'!A:B,2,0)</f>
        <v>453.13220000000001</v>
      </c>
      <c r="C54" s="35">
        <f t="shared" si="4"/>
        <v>2.985222863867576E-2</v>
      </c>
      <c r="D54" s="33">
        <f t="shared" si="0"/>
        <v>-7500</v>
      </c>
      <c r="E54" s="33">
        <f t="shared" si="5"/>
        <v>444697.04681231821</v>
      </c>
      <c r="G54" s="12">
        <v>42535</v>
      </c>
      <c r="H54" s="33">
        <f>VLOOKUP(G54,'MF Data'!C:D,2,0)</f>
        <v>32.651000000000003</v>
      </c>
      <c r="I54" s="35">
        <f t="shared" si="6"/>
        <v>2.1484914520732978E-3</v>
      </c>
      <c r="J54" s="33">
        <f t="shared" si="1"/>
        <v>-7500</v>
      </c>
      <c r="K54" s="33">
        <f t="shared" si="7"/>
        <v>385395.71981847152</v>
      </c>
      <c r="M54" s="12">
        <v>42535</v>
      </c>
      <c r="N54" s="36">
        <f t="shared" si="2"/>
        <v>-15000</v>
      </c>
      <c r="O54" s="36">
        <f t="shared" si="3"/>
        <v>830092.76663078973</v>
      </c>
    </row>
    <row r="55" spans="1:15" x14ac:dyDescent="0.3">
      <c r="A55" s="12">
        <v>42565</v>
      </c>
      <c r="B55" s="33">
        <f>VLOOKUP(A55,'MF Data'!A:B,2,0)</f>
        <v>478.98880000000003</v>
      </c>
      <c r="C55" s="35">
        <f t="shared" si="4"/>
        <v>5.7061934684844662E-2</v>
      </c>
      <c r="D55" s="33">
        <f t="shared" si="0"/>
        <v>-7500</v>
      </c>
      <c r="E55" s="33">
        <f t="shared" si="5"/>
        <v>477572.32065206603</v>
      </c>
      <c r="G55" s="12">
        <v>42565</v>
      </c>
      <c r="H55" s="33">
        <f>VLOOKUP(G55,'MF Data'!C:D,2,0)</f>
        <v>33.42</v>
      </c>
      <c r="I55" s="35">
        <f t="shared" si="6"/>
        <v>2.3552111727052738E-2</v>
      </c>
      <c r="J55" s="33">
        <f t="shared" si="1"/>
        <v>-7500</v>
      </c>
      <c r="K55" s="33">
        <f t="shared" si="7"/>
        <v>401972.60287076409</v>
      </c>
      <c r="M55" s="12">
        <v>42565</v>
      </c>
      <c r="N55" s="36">
        <f t="shared" si="2"/>
        <v>-15000</v>
      </c>
      <c r="O55" s="36">
        <f t="shared" si="3"/>
        <v>879544.92352283013</v>
      </c>
    </row>
    <row r="56" spans="1:15" x14ac:dyDescent="0.3">
      <c r="A56" s="12">
        <v>42598</v>
      </c>
      <c r="B56" s="33">
        <f>VLOOKUP(A56,'MF Data'!A:B,2,0)</f>
        <v>480.86250000000001</v>
      </c>
      <c r="C56" s="35">
        <f t="shared" si="4"/>
        <v>3.9117824884422614E-3</v>
      </c>
      <c r="D56" s="33">
        <f t="shared" si="0"/>
        <v>-7500</v>
      </c>
      <c r="E56" s="33">
        <f t="shared" si="5"/>
        <v>486940.47969295754</v>
      </c>
      <c r="G56" s="12">
        <v>42598</v>
      </c>
      <c r="H56" s="33">
        <f>VLOOKUP(G56,'MF Data'!C:D,2,0)</f>
        <v>34.426600000000001</v>
      </c>
      <c r="I56" s="35">
        <f t="shared" si="6"/>
        <v>3.0119688809096212E-2</v>
      </c>
      <c r="J56" s="33">
        <f t="shared" si="1"/>
        <v>-7500</v>
      </c>
      <c r="K56" s="33">
        <f t="shared" si="7"/>
        <v>421579.89257901395</v>
      </c>
      <c r="M56" s="12">
        <v>42598</v>
      </c>
      <c r="N56" s="36">
        <f t="shared" si="2"/>
        <v>-15000</v>
      </c>
      <c r="O56" s="36">
        <f t="shared" si="3"/>
        <v>908520.37227197154</v>
      </c>
    </row>
    <row r="57" spans="1:15" x14ac:dyDescent="0.3">
      <c r="A57" s="12">
        <v>42625</v>
      </c>
      <c r="B57" s="33">
        <f>VLOOKUP(A57,'MF Data'!A:B,2,0)</f>
        <v>487.43439999999998</v>
      </c>
      <c r="C57" s="35">
        <f t="shared" si="4"/>
        <v>1.366690062127951E-2</v>
      </c>
      <c r="D57" s="33">
        <f t="shared" si="0"/>
        <v>-7500</v>
      </c>
      <c r="E57" s="33">
        <f t="shared" si="5"/>
        <v>501095.44683739939</v>
      </c>
      <c r="G57" s="12">
        <v>42625</v>
      </c>
      <c r="H57" s="33">
        <f>VLOOKUP(G57,'MF Data'!C:D,2,0)</f>
        <v>34.608400000000003</v>
      </c>
      <c r="I57" s="35">
        <f t="shared" si="6"/>
        <v>5.2808003113871127E-3</v>
      </c>
      <c r="J57" s="33">
        <f t="shared" si="1"/>
        <v>-7500</v>
      </c>
      <c r="K57" s="33">
        <f t="shared" si="7"/>
        <v>431306.17180701974</v>
      </c>
      <c r="M57" s="12">
        <v>42625</v>
      </c>
      <c r="N57" s="36">
        <f t="shared" si="2"/>
        <v>-15000</v>
      </c>
      <c r="O57" s="36">
        <f t="shared" si="3"/>
        <v>932401.61864441913</v>
      </c>
    </row>
    <row r="58" spans="1:15" x14ac:dyDescent="0.3">
      <c r="A58" s="12">
        <v>42656</v>
      </c>
      <c r="B58" s="33">
        <f>VLOOKUP(A58,'MF Data'!A:B,2,0)</f>
        <v>488.30369999999999</v>
      </c>
      <c r="C58" s="35">
        <f t="shared" si="4"/>
        <v>1.7834194714201335E-3</v>
      </c>
      <c r="D58" s="33">
        <f t="shared" si="0"/>
        <v>-7500</v>
      </c>
      <c r="E58" s="33">
        <f t="shared" si="5"/>
        <v>509489.11021432915</v>
      </c>
      <c r="G58" s="12">
        <v>42656</v>
      </c>
      <c r="H58" s="33">
        <f>VLOOKUP(G58,'MF Data'!C:D,2,0)</f>
        <v>35.327599999999997</v>
      </c>
      <c r="I58" s="35">
        <f t="shared" si="6"/>
        <v>2.078108204944451E-2</v>
      </c>
      <c r="J58" s="33">
        <f t="shared" si="1"/>
        <v>-7500</v>
      </c>
      <c r="K58" s="33">
        <f t="shared" si="7"/>
        <v>447769.18075177324</v>
      </c>
      <c r="M58" s="12">
        <v>42656</v>
      </c>
      <c r="N58" s="36">
        <f t="shared" si="2"/>
        <v>-15000</v>
      </c>
      <c r="O58" s="36">
        <f t="shared" si="3"/>
        <v>957258.29096610239</v>
      </c>
    </row>
    <row r="59" spans="1:15" x14ac:dyDescent="0.3">
      <c r="A59" s="12">
        <v>42657</v>
      </c>
      <c r="B59" s="33">
        <f>VLOOKUP(A59,'MF Data'!A:B,2,0)</f>
        <v>489.59949999999998</v>
      </c>
      <c r="C59" s="35">
        <f t="shared" si="4"/>
        <v>2.6536763903284299E-3</v>
      </c>
      <c r="D59" s="33"/>
      <c r="E59" s="33">
        <f t="shared" si="5"/>
        <v>510841.12943723437</v>
      </c>
      <c r="G59" s="12">
        <v>42657</v>
      </c>
      <c r="H59" s="33">
        <f>VLOOKUP(G59,'MF Data'!C:D,2,0)</f>
        <v>35.271799999999999</v>
      </c>
      <c r="I59" s="35">
        <f t="shared" si="6"/>
        <v>-1.5795015795014855E-3</v>
      </c>
      <c r="J59" s="33"/>
      <c r="K59" s="33">
        <f t="shared" si="7"/>
        <v>447061.92862352374</v>
      </c>
      <c r="M59" s="12">
        <v>42657</v>
      </c>
      <c r="N59" s="36">
        <f t="shared" si="2"/>
        <v>0</v>
      </c>
      <c r="O59" s="36">
        <f t="shared" si="3"/>
        <v>957903.05806075805</v>
      </c>
    </row>
    <row r="60" spans="1:15" x14ac:dyDescent="0.3">
      <c r="A60" s="12">
        <f>A59</f>
        <v>42657</v>
      </c>
      <c r="B60" s="33"/>
      <c r="C60" s="35"/>
      <c r="D60" s="33">
        <f>E59</f>
        <v>510841.12943723437</v>
      </c>
      <c r="E60" s="33"/>
      <c r="G60" s="12">
        <f>G59</f>
        <v>42657</v>
      </c>
      <c r="H60" s="33"/>
      <c r="I60" s="35"/>
      <c r="J60" s="33">
        <f>K59</f>
        <v>447061.92862352374</v>
      </c>
      <c r="K60" s="33"/>
      <c r="M60" s="12">
        <v>42657</v>
      </c>
      <c r="N60" s="36">
        <f t="shared" si="2"/>
        <v>957903.05806075805</v>
      </c>
      <c r="O60" s="36">
        <f t="shared" si="3"/>
        <v>0</v>
      </c>
    </row>
    <row r="61" spans="1:15" x14ac:dyDescent="0.3">
      <c r="B61" t="s">
        <v>68</v>
      </c>
      <c r="C61" s="5">
        <f>XIRR(D12:D60,A12:A60)</f>
        <v>0.20272415280342101</v>
      </c>
      <c r="D61" s="5">
        <f>XIRR(D12:D60,A12:A60)</f>
        <v>0.20272415280342101</v>
      </c>
      <c r="H61" t="s">
        <v>68</v>
      </c>
      <c r="I61" s="5">
        <f>XIRR(J12:J60,G12:G60)</f>
        <v>0.12831427454948424</v>
      </c>
      <c r="M61" t="s">
        <v>68</v>
      </c>
      <c r="N61" s="5">
        <f>XIRR(N12:N60,M12:M60)</f>
        <v>0.16645596623420719</v>
      </c>
    </row>
    <row r="62" spans="1:15" x14ac:dyDescent="0.3">
      <c r="B62" s="14" t="s">
        <v>68</v>
      </c>
      <c r="C62" s="5">
        <f>XIRR(D12:D60,A12:A60)</f>
        <v>0.20272415280342101</v>
      </c>
    </row>
    <row r="63" spans="1:15" x14ac:dyDescent="0.3">
      <c r="D63">
        <f>XIRR(D12:D60,A12:A60)</f>
        <v>0.20272415280342101</v>
      </c>
    </row>
  </sheetData>
  <dataConsolidate/>
  <conditionalFormatting sqref="A11">
    <cfRule type="colorScale" priority="3">
      <colorScale>
        <cfvo type="min"/>
        <cfvo type="percentile" val="50"/>
        <cfvo type="max"/>
        <color rgb="FFF8696B"/>
        <color rgb="FFFFEB84"/>
        <color rgb="FF63BE7B"/>
      </colorScale>
    </cfRule>
  </conditionalFormatting>
  <conditionalFormatting sqref="G11">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Sheet14</vt:lpstr>
      <vt:lpstr>Sheet15</vt:lpstr>
      <vt:lpstr>Sheet16</vt:lpstr>
      <vt:lpstr>Sheet17</vt:lpstr>
      <vt:lpstr>Sheet18</vt:lpstr>
      <vt:lpstr>Sheet19</vt:lpstr>
      <vt:lpstr>Sheet20</vt:lpstr>
      <vt:lpstr>Sheet21</vt:lpstr>
      <vt:lpstr>Question </vt:lpstr>
      <vt:lpstr>MF Data</vt:lpstr>
      <vt:lpstr>Presentation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SAKSHI MISHRA</cp:lastModifiedBy>
  <dcterms:created xsi:type="dcterms:W3CDTF">2015-06-05T18:17:20Z</dcterms:created>
  <dcterms:modified xsi:type="dcterms:W3CDTF">2025-12-14T18:49:24Z</dcterms:modified>
</cp:coreProperties>
</file>